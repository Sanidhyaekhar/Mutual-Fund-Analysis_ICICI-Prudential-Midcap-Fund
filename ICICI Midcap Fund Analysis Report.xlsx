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nidhya Ekhar\Documents\Mutual Fund Analysis TVA\"/>
    </mc:Choice>
  </mc:AlternateContent>
  <xr:revisionPtr revIDLastSave="0" documentId="13_ncr:1_{CA462819-BB29-441A-A016-1BEAAE57F4DC}" xr6:coauthVersionLast="47" xr6:coauthVersionMax="47" xr10:uidLastSave="{00000000-0000-0000-0000-000000000000}"/>
  <bookViews>
    <workbookView xWindow="-108" yWindow="-108" windowWidth="23256" windowHeight="12456" xr2:uid="{0976E4E2-B898-49F7-9131-8CABC38F2CB7}"/>
  </bookViews>
  <sheets>
    <sheet name="New" sheetId="1" r:id="rId1"/>
  </sheets>
  <externalReferences>
    <externalReference r:id="rId2"/>
  </externalReferences>
  <definedNames>
    <definedName name="_xlnm.Print_Area" localSheetId="0">New!$A$1:$AW$48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<sst xmlns="http://schemas.openxmlformats.org/spreadsheetml/2006/main" count="118" uniqueCount="100">
  <si>
    <t>ICICI Prudential Mid Cap Fund - Direct</t>
  </si>
  <si>
    <t xml:space="preserve">Analysis Report as on 30th June 2026 </t>
  </si>
  <si>
    <t xml:space="preserve">Fund &amp; Scheme Details </t>
  </si>
  <si>
    <t xml:space="preserve">Top 10 Stock Holdings </t>
  </si>
  <si>
    <t>Inception Date:</t>
  </si>
  <si>
    <t>1st Jan 2013</t>
  </si>
  <si>
    <t>Apar Industries Ltd.</t>
  </si>
  <si>
    <t>AUM (In Cr.) :</t>
  </si>
  <si>
    <t>BSE Ltd.</t>
  </si>
  <si>
    <t>Plan Type:</t>
  </si>
  <si>
    <t xml:space="preserve">Direct Growth Plan </t>
  </si>
  <si>
    <t>Multi Commodity Exchange Of India Ltd.</t>
  </si>
  <si>
    <t>Asset Class:</t>
  </si>
  <si>
    <t xml:space="preserve">Equity </t>
  </si>
  <si>
    <t>Jindal Steel Ltd.</t>
  </si>
  <si>
    <t>Scheme Type:</t>
  </si>
  <si>
    <t>Mid Cap</t>
  </si>
  <si>
    <t>Hindustan Petroleum Corporation Ltd.</t>
  </si>
  <si>
    <t>Benchmark:</t>
  </si>
  <si>
    <t xml:space="preserve">Nifty Midcap 150 TRI </t>
  </si>
  <si>
    <t>APL Apollo Tubes Ltd.</t>
  </si>
  <si>
    <t>Expense Ratio:</t>
  </si>
  <si>
    <t>Bharat Forge Ltd.</t>
  </si>
  <si>
    <t>Exit Load:</t>
  </si>
  <si>
    <t>1% for 365 days</t>
  </si>
  <si>
    <t>Muthoot Finance Ltd.</t>
  </si>
  <si>
    <t>Turnover Ratio</t>
  </si>
  <si>
    <t>KEI Industries Ltd.</t>
  </si>
  <si>
    <t>Fund Manager:</t>
  </si>
  <si>
    <t>Lalit Kumar, Sharmila D'Silva</t>
  </si>
  <si>
    <t>PB Fintech Ltd.</t>
  </si>
  <si>
    <t>Asset Allocation</t>
  </si>
  <si>
    <t>Top 5 Sectors Holdings</t>
  </si>
  <si>
    <t xml:space="preserve"> </t>
  </si>
  <si>
    <t>Riskometer - Fund</t>
  </si>
  <si>
    <t>Riskometer - Benchmark</t>
  </si>
  <si>
    <t>Fund Overview</t>
  </si>
  <si>
    <t>ICICI Prudential Mid Cap Fund is an open-ended equity scheme that seeks to generate long-term capital appreciation by investing predominantly in a diversified portfolio of mid-cap equities. In accordance with regulatory guidelines, the scheme maintains a minimum exposure of 65% of its total assets to mid-cap stocks at all times. The fund is benchmarked against the Nifty Midcap 150 TRI and primarily invests in companies whose market capitalization falls within the range defined by the constituents of the Nifty Midcap 100 Index — spanning from the lowest to the highest market capitalization among them.</t>
  </si>
  <si>
    <t>Source: ICICI Prudential AMC factsheet - data as on 30 June 2026, Morningstar, Value Research Online, RupeeVest</t>
  </si>
  <si>
    <t xml:space="preserve">Return Analysis </t>
  </si>
  <si>
    <t>Particular</t>
  </si>
  <si>
    <t>1 Year</t>
  </si>
  <si>
    <t>3 Year</t>
  </si>
  <si>
    <t>5 Year</t>
  </si>
  <si>
    <t>7 Year</t>
  </si>
  <si>
    <t>CAGR%</t>
  </si>
  <si>
    <t>ICICI Prudential Mid Cap Fund</t>
  </si>
  <si>
    <t>Nifty 50 TRI</t>
  </si>
  <si>
    <t>Value of 1,00,000 invested Lumpsum</t>
  </si>
  <si>
    <t>XIRR%</t>
  </si>
  <si>
    <t>Value of 10,000 invested via monthly SIP</t>
  </si>
  <si>
    <t xml:space="preserve">SIP Performance </t>
  </si>
  <si>
    <t>Lumpsum Performance</t>
  </si>
  <si>
    <t>The fund has outperformed both the Nifty Midcap 150 TRI and Nifty 50 TRI across most periods, in both lumpsum and SIP modes, except for the 7-year lumpsum. The lumpsum investment delivered CAGR returns of 11.43%, 23.67%, 18.09% and 21.09% for 1-year, 3-year, 5-year, and 7-year periods, respectively. Meanwhile, SIP investments generated XIRR of 18.92%, 18.39%, 20.30% and 22.95% for the same respective periods. This broad-based outperformance across market cycles and investment modes reflects the fund manager's effective stock selection and portfolio strategy within the midcap segment.
The benchmark returns for Nifty Midcap 150 TRI have been calculated using the Motilal Oswal Nifty Midcap 150 Index Fund, while the returns for Nifty 50 TRI have been calculated using the Aditya Birla Sun Life Nifty 50 Index Fund.</t>
  </si>
  <si>
    <t xml:space="preserve">Risk Analysis </t>
  </si>
  <si>
    <t>Std Dev</t>
  </si>
  <si>
    <t>Sharpe</t>
  </si>
  <si>
    <t>Sortino</t>
  </si>
  <si>
    <t>Beta</t>
  </si>
  <si>
    <t>Alpha</t>
  </si>
  <si>
    <t>Category Average</t>
  </si>
  <si>
    <t>The fund has a marginally higher standard deviation of 18.63% compared to the Nifty Midcap 150 TRI and the category average. However, this has been well compensated by the fund's superior risk-adjusted returns. The Alpha of 4.67 highlights the fund manager's ability to generate meaningful excess returns, while the Sharpe ratio of 0.98 is notably higher than both the benchmark and category average. 
The Sortino ratio of 1.40 further suggests that the fund has managed downside volatility more effectively than its peers, despite a higher overall standard deviation. With a Beta of 1.00, the fund moves largely in line with the broader market — marginally higher than the category average of 0.96 — indicating close-to-full market participation rather than a defensive positioning.</t>
  </si>
  <si>
    <t xml:space="preserve">Portfolio Analysis </t>
  </si>
  <si>
    <t>Fund</t>
  </si>
  <si>
    <t>Category</t>
  </si>
  <si>
    <t>Index</t>
  </si>
  <si>
    <t>Price/Earnings</t>
  </si>
  <si>
    <t>Price/Book</t>
  </si>
  <si>
    <t>Price/Sales</t>
  </si>
  <si>
    <t>Price/Cash Flow</t>
  </si>
  <si>
    <t>Dividend Yield %</t>
  </si>
  <si>
    <t>Long-Term Earnings %</t>
  </si>
  <si>
    <t>Cash-Flow Growth %</t>
  </si>
  <si>
    <t>Book-Value Growth %</t>
  </si>
  <si>
    <t>Portfolio Summary</t>
  </si>
  <si>
    <t>Number Of Stocks</t>
  </si>
  <si>
    <t>Top 10 Stocks (%)</t>
  </si>
  <si>
    <t>Top 5 Stocks (%)</t>
  </si>
  <si>
    <t>Top 3 Stocks (%)</t>
  </si>
  <si>
    <t>Avg. Mkt. Cap (cr.)</t>
  </si>
  <si>
    <t>Sector Type Exposure</t>
  </si>
  <si>
    <t>Market cap weightage</t>
  </si>
  <si>
    <t>Detailed Sector Exposure</t>
  </si>
  <si>
    <t xml:space="preserve">Fund </t>
  </si>
  <si>
    <t>Basic Materials</t>
  </si>
  <si>
    <t>Consumer Cyclical</t>
  </si>
  <si>
    <t>Financial Services</t>
  </si>
  <si>
    <t>Real Estate</t>
  </si>
  <si>
    <t>Cyclical</t>
  </si>
  <si>
    <t>Communication Services</t>
  </si>
  <si>
    <t>Energy</t>
  </si>
  <si>
    <t>Industrials</t>
  </si>
  <si>
    <t>Technology</t>
  </si>
  <si>
    <t>Sensitive</t>
  </si>
  <si>
    <t>Consumer Defensive</t>
  </si>
  <si>
    <t>Healthcare</t>
  </si>
  <si>
    <t>Utilities</t>
  </si>
  <si>
    <t>Defensive</t>
  </si>
  <si>
    <t>The fund trades at a discount to its category (P/E of 20.96x vs. 26.2x), indicating a value-oriented stock selection approach. It is strongly overweight in Basic Materials and Industrials, alongside an underweight in Technology and Healthcare, reflecting a portfolio tilted toward cyclical and manufacturing-linked businesses.</t>
  </si>
  <si>
    <t xml:space="preserve">Disclaimer: This is an educational assignment/project and not a recommendation to buy or sell. The author is not a SEBI Registered Invesment Advisor. Please conduct your own research and due diligence before making any financial decision.
Mutual Fund investments are subject to market risks, read all scheme related documents carefully. Past performance is not indicative of future returns.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</si>
</sst>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0.00\ "/>
  </numFmts>
  <fonts count="11" x14ac:knownFonts="1">
    <font>
      <sz val="11"/>
      <color theme="1"/>
      <name val="Aptos Narrow"/>
      <family val="2"/>
      <scheme val="minor"/>
    </font>
    <font>
      <sz val="11"/>
      <color theme="1"/>
      <name val="Aptos Narrow"/>
      <family val="2"/>
      <scheme val="minor"/>
    </font>
    <font>
      <i/>
      <sz val="9"/>
      <color theme="0" tint="-0.34998626667073579"/>
      <name val="Book Antiqua"/>
      <family val="1"/>
    </font>
    <font>
      <sz val="11"/>
      <color theme="1"/>
      <name val="Book Antiqua"/>
      <family val="1"/>
    </font>
    <font>
      <b/>
      <sz val="18"/>
      <color theme="0"/>
      <name val="Book Antiqua"/>
      <family val="1"/>
    </font>
    <font>
      <b/>
      <sz val="11"/>
      <color theme="1"/>
      <name val="Book Antiqua"/>
      <family val="1"/>
    </font>
    <font>
      <sz val="9"/>
      <color theme="1"/>
      <name val="Book Antiqua"/>
      <family val="1"/>
    </font>
    <font>
      <i/>
      <sz val="8"/>
      <color theme="0" tint="-0.249977111117893"/>
      <name val="Book Antiqua"/>
      <family val="1"/>
    </font>
    <font>
      <b/>
      <sz val="9"/>
      <color theme="1"/>
      <name val="Book Antiqua"/>
      <family val="1"/>
    </font>
    <font>
      <b/>
      <sz val="10"/>
      <color theme="1"/>
      <name val="Book Antiqua"/>
      <family val="1"/>
    </font>
    <font>
      <b/>
      <i/>
      <u/>
      <sz val="9"/>
      <color theme="1"/>
      <name val="Book Antiqua"/>
      <family val="1"/>
    </font>
  </fonts>
  <fills count="6">
    <fill>
      <patternFill patternType="none"/>
    </fill>
    <fill>
      <patternFill patternType="gray125"/>
    </fill>
    <fill>
      <patternFill patternType="solid">
        <fgColor theme="0" tint="-0.249977111117893"/>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tint="0.79998168889431442"/>
        <bgColor indexed="64"/>
      </patternFill>
    </fill>
  </fills>
  <borders count="11">
    <border>
      <left/>
      <right/>
      <top/>
      <bottom/>
      <diagonal/>
    </border>
    <border>
      <left/>
      <right/>
      <top style="thin">
        <color theme="0" tint="-0.24994659260841701"/>
      </top>
      <bottom/>
      <diagonal/>
    </border>
    <border>
      <left/>
      <right/>
      <top style="medium">
        <color theme="5" tint="-0.249977111117893"/>
      </top>
      <bottom style="medium">
        <color theme="5" tint="-0.249977111117893"/>
      </bottom>
      <diagonal/>
    </border>
    <border>
      <left/>
      <right/>
      <top style="medium">
        <color theme="5" tint="-0.24994659260841701"/>
      </top>
      <bottom style="medium">
        <color theme="5" tint="-0.24994659260841701"/>
      </bottom>
      <diagonal/>
    </border>
    <border>
      <left/>
      <right/>
      <top/>
      <bottom style="dotted">
        <color theme="0" tint="-0.34998626667073579"/>
      </bottom>
      <diagonal/>
    </border>
    <border>
      <left/>
      <right/>
      <top style="dotted">
        <color theme="0" tint="-0.34998626667073579"/>
      </top>
      <bottom style="dotted">
        <color theme="0" tint="-0.34998626667073579"/>
      </bottom>
      <diagonal/>
    </border>
    <border>
      <left/>
      <right/>
      <top style="medium">
        <color theme="5"/>
      </top>
      <bottom style="medium">
        <color theme="5"/>
      </bottom>
      <diagonal/>
    </border>
    <border>
      <left/>
      <right/>
      <top/>
      <bottom style="thin">
        <color theme="5"/>
      </bottom>
      <diagonal/>
    </border>
    <border>
      <left/>
      <right/>
      <top style="dashed">
        <color theme="5"/>
      </top>
      <bottom style="dashed">
        <color theme="5"/>
      </bottom>
      <diagonal/>
    </border>
    <border>
      <left/>
      <right/>
      <top style="dotted">
        <color theme="5"/>
      </top>
      <bottom style="dotted">
        <color theme="5"/>
      </bottom>
      <diagonal/>
    </border>
    <border>
      <left/>
      <right/>
      <top/>
      <bottom style="dashed">
        <color theme="5"/>
      </bottom>
      <diagonal/>
    </border>
  </borders>
  <cellStyleXfs count="2">
    <xf numFmtId="0" fontId="0" fillId="0" borderId="0"/>
    <xf numFmtId="9" fontId="1" fillId="0" borderId="0" applyFont="0" applyFill="0" applyBorder="0" applyAlignment="0" applyProtection="0"/>
  </cellStyleXfs>
  <cellXfs count="55">
    <xf numFmtId="0" fontId="0" fillId="0" borderId="0" xfId="0"/>
    <xf numFmtId="0" fontId="0" fillId="2" borderId="0" xfId="0" applyFill="1"/>
    <xf numFmtId="0" fontId="2" fillId="0" borderId="0" xfId="0" applyFont="1"/>
    <xf numFmtId="0" fontId="3" fillId="0" borderId="0" xfId="0" applyFont="1"/>
    <xf numFmtId="0" fontId="3" fillId="0" borderId="0" xfId="0" applyFont="1" applyAlignment="1">
      <alignment horizontal="center"/>
    </xf>
    <xf numFmtId="0" fontId="0" fillId="0" borderId="1" xfId="0" applyBorder="1"/>
    <xf numFmtId="0" fontId="3" fillId="0" borderId="1" xfId="0" applyFont="1" applyBorder="1"/>
    <xf numFmtId="0" fontId="3" fillId="0" borderId="4" xfId="0" applyFont="1" applyBorder="1"/>
    <xf numFmtId="0" fontId="6" fillId="0" borderId="5" xfId="0" applyFont="1" applyBorder="1" applyAlignment="1">
      <alignment horizontal="left"/>
    </xf>
    <xf numFmtId="0" fontId="6" fillId="0" borderId="5" xfId="0" applyFont="1" applyBorder="1"/>
    <xf numFmtId="0" fontId="6" fillId="0" borderId="5" xfId="0" applyFont="1" applyBorder="1" applyAlignment="1">
      <alignment horizontal="right"/>
    </xf>
    <xf numFmtId="0" fontId="6" fillId="4" borderId="0" xfId="0" applyFont="1" applyFill="1"/>
    <xf numFmtId="10" fontId="6" fillId="4" borderId="0" xfId="1" applyNumberFormat="1" applyFont="1" applyFill="1"/>
    <xf numFmtId="4" fontId="6" fillId="0" borderId="5" xfId="0" applyNumberFormat="1" applyFont="1" applyBorder="1" applyAlignment="1">
      <alignment horizontal="right"/>
    </xf>
    <xf numFmtId="0" fontId="6" fillId="5" borderId="0" xfId="0" applyFont="1" applyFill="1"/>
    <xf numFmtId="10" fontId="6" fillId="5" borderId="0" xfId="1" applyNumberFormat="1" applyFont="1" applyFill="1"/>
    <xf numFmtId="0" fontId="6" fillId="0" borderId="5" xfId="0" applyFont="1" applyBorder="1" applyAlignment="1">
      <alignment wrapText="1"/>
    </xf>
    <xf numFmtId="10" fontId="6" fillId="0" borderId="5" xfId="0" applyNumberFormat="1" applyFont="1" applyBorder="1" applyAlignment="1">
      <alignment horizontal="right"/>
    </xf>
    <xf numFmtId="0" fontId="3" fillId="0" borderId="0" xfId="0" applyFont="1" applyAlignment="1">
      <alignment horizontal="right"/>
    </xf>
    <xf numFmtId="0" fontId="6" fillId="0" borderId="0" xfId="0" applyFont="1" applyAlignment="1">
      <alignment horizontal="left" vertical="top" wrapText="1"/>
    </xf>
    <xf numFmtId="0" fontId="7" fillId="0" borderId="0" xfId="0" applyFont="1" applyAlignment="1">
      <alignment vertical="top"/>
    </xf>
    <xf numFmtId="0" fontId="4" fillId="0" borderId="0" xfId="0" applyFont="1" applyAlignment="1">
      <alignment horizontal="center"/>
    </xf>
    <xf numFmtId="0" fontId="8" fillId="0" borderId="7" xfId="0" applyFont="1" applyBorder="1"/>
    <xf numFmtId="0" fontId="8" fillId="0" borderId="0" xfId="0" applyFont="1"/>
    <xf numFmtId="0" fontId="8" fillId="0" borderId="7" xfId="0" applyFont="1" applyBorder="1" applyAlignment="1">
      <alignment horizontal="center"/>
    </xf>
    <xf numFmtId="0" fontId="5" fillId="0" borderId="0" xfId="0" applyFont="1"/>
    <xf numFmtId="0" fontId="6" fillId="0" borderId="8" xfId="0" applyFont="1" applyBorder="1"/>
    <xf numFmtId="0" fontId="3" fillId="0" borderId="8" xfId="0" applyFont="1" applyBorder="1"/>
    <xf numFmtId="10" fontId="6" fillId="0" borderId="9" xfId="1" applyNumberFormat="1" applyFont="1" applyBorder="1" applyAlignment="1">
      <alignment horizontal="center"/>
    </xf>
    <xf numFmtId="0" fontId="6" fillId="0" borderId="0" xfId="0" applyFont="1"/>
    <xf numFmtId="164" fontId="6" fillId="0" borderId="8" xfId="0" applyNumberFormat="1" applyFont="1" applyBorder="1" applyAlignment="1">
      <alignment horizontal="center"/>
    </xf>
    <xf numFmtId="164" fontId="6" fillId="0" borderId="0" xfId="0" applyNumberFormat="1" applyFont="1" applyAlignment="1">
      <alignment horizontal="center"/>
    </xf>
    <xf numFmtId="10" fontId="6" fillId="0" borderId="10" xfId="1" applyNumberFormat="1" applyFont="1" applyBorder="1" applyAlignment="1">
      <alignment horizontal="center"/>
    </xf>
    <xf numFmtId="2" fontId="6" fillId="0" borderId="10" xfId="0" applyNumberFormat="1" applyFont="1" applyBorder="1" applyAlignment="1">
      <alignment horizontal="center"/>
    </xf>
    <xf numFmtId="10" fontId="6" fillId="0" borderId="8" xfId="1" applyNumberFormat="1" applyFont="1" applyBorder="1" applyAlignment="1">
      <alignment horizontal="center"/>
    </xf>
    <xf numFmtId="2" fontId="6" fillId="0" borderId="8" xfId="0" applyNumberFormat="1" applyFont="1" applyBorder="1" applyAlignment="1">
      <alignment horizontal="center"/>
    </xf>
    <xf numFmtId="0" fontId="7" fillId="0" borderId="0" xfId="0" applyFont="1"/>
    <xf numFmtId="0" fontId="9" fillId="0" borderId="7" xfId="0" applyFont="1" applyBorder="1"/>
    <xf numFmtId="0" fontId="6" fillId="0" borderId="8" xfId="0" applyFont="1" applyBorder="1" applyAlignment="1">
      <alignment horizontal="center"/>
    </xf>
    <xf numFmtId="10" fontId="6" fillId="0" borderId="0" xfId="1" applyNumberFormat="1" applyFont="1" applyBorder="1" applyAlignment="1">
      <alignment horizontal="center"/>
    </xf>
    <xf numFmtId="0" fontId="6" fillId="0" borderId="0" xfId="0" applyFont="1" applyAlignment="1">
      <alignment horizontal="center"/>
    </xf>
    <xf numFmtId="10" fontId="6" fillId="0" borderId="8" xfId="0" applyNumberFormat="1" applyFont="1" applyBorder="1" applyAlignment="1">
      <alignment horizontal="center"/>
    </xf>
    <xf numFmtId="4" fontId="6" fillId="0" borderId="8" xfId="0" applyNumberFormat="1" applyFont="1" applyBorder="1" applyAlignment="1">
      <alignment horizontal="center"/>
    </xf>
    <xf numFmtId="0" fontId="8" fillId="0" borderId="8" xfId="0" applyFont="1" applyBorder="1"/>
    <xf numFmtId="10" fontId="8" fillId="0" borderId="8" xfId="1" applyNumberFormat="1" applyFont="1" applyBorder="1" applyAlignment="1">
      <alignment horizontal="center"/>
    </xf>
    <xf numFmtId="10" fontId="8" fillId="0" borderId="0" xfId="1" applyNumberFormat="1" applyFont="1" applyBorder="1" applyAlignment="1">
      <alignment horizontal="center"/>
    </xf>
    <xf numFmtId="0" fontId="3" fillId="2" borderId="0" xfId="0" applyFont="1" applyFill="1"/>
    <xf numFmtId="0" fontId="10" fillId="0" borderId="0" xfId="0" applyFont="1" applyAlignment="1">
      <alignment horizontal="left" vertical="top" wrapText="1"/>
    </xf>
    <xf numFmtId="0" fontId="4" fillId="3" borderId="0" xfId="0" applyFont="1" applyFill="1" applyAlignment="1">
      <alignment horizontal="center"/>
    </xf>
    <xf numFmtId="0" fontId="5" fillId="0" borderId="6" xfId="0" applyFont="1" applyBorder="1" applyAlignment="1">
      <alignment horizontal="left"/>
    </xf>
    <xf numFmtId="0" fontId="6" fillId="0" borderId="0" xfId="0" applyFont="1" applyAlignment="1">
      <alignment horizontal="left" vertical="top" wrapText="1"/>
    </xf>
    <xf numFmtId="0" fontId="5" fillId="0" borderId="2" xfId="0" applyFont="1" applyBorder="1" applyAlignment="1">
      <alignment horizontal="left"/>
    </xf>
    <xf numFmtId="0" fontId="5" fillId="0" borderId="0" xfId="0" applyFont="1" applyAlignment="1">
      <alignment horizontal="left"/>
    </xf>
    <xf numFmtId="0" fontId="3" fillId="0" borderId="0" xfId="0" applyFont="1" applyAlignment="1">
      <alignment horizontal="center"/>
    </xf>
    <xf numFmtId="0" fontId="5" fillId="0" borderId="3" xfId="0"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0225319704297681"/>
          <c:y val="2.7976197469365697E-2"/>
          <c:w val="0.41534503327810601"/>
          <c:h val="0.94688781324529769"/>
        </c:manualLayout>
      </c:layout>
      <c:doughnutChart>
        <c:varyColors val="1"/>
        <c:ser>
          <c:idx val="0"/>
          <c:order val="0"/>
          <c:dPt>
            <c:idx val="0"/>
            <c:bubble3D val="0"/>
            <c:spPr>
              <a:solidFill>
                <a:schemeClr val="accent2">
                  <a:shade val="50000"/>
                </a:schemeClr>
              </a:solidFill>
              <a:ln w="19050">
                <a:solidFill>
                  <a:schemeClr val="lt1"/>
                </a:solidFill>
              </a:ln>
              <a:effectLst/>
            </c:spPr>
            <c:extLst>
              <c:ext xmlns:c16="http://schemas.microsoft.com/office/drawing/2014/chart" uri="{C3380CC4-5D6E-409C-BE32-E72D297353CC}">
                <c16:uniqueId val="{00000001-CF5F-4AFD-85D9-6B4E6C069484}"/>
              </c:ext>
            </c:extLst>
          </c:dPt>
          <c:dPt>
            <c:idx val="1"/>
            <c:bubble3D val="0"/>
            <c:spPr>
              <a:solidFill>
                <a:schemeClr val="accent2">
                  <a:shade val="70000"/>
                </a:schemeClr>
              </a:solidFill>
              <a:ln w="19050">
                <a:solidFill>
                  <a:schemeClr val="lt1"/>
                </a:solidFill>
              </a:ln>
              <a:effectLst/>
            </c:spPr>
            <c:extLst>
              <c:ext xmlns:c16="http://schemas.microsoft.com/office/drawing/2014/chart" uri="{C3380CC4-5D6E-409C-BE32-E72D297353CC}">
                <c16:uniqueId val="{00000003-CF5F-4AFD-85D9-6B4E6C069484}"/>
              </c:ext>
            </c:extLst>
          </c:dPt>
          <c:dPt>
            <c:idx val="2"/>
            <c:bubble3D val="0"/>
            <c:spPr>
              <a:solidFill>
                <a:schemeClr val="accent2">
                  <a:shade val="90000"/>
                </a:schemeClr>
              </a:solidFill>
              <a:ln w="19050">
                <a:solidFill>
                  <a:schemeClr val="lt1"/>
                </a:solidFill>
              </a:ln>
              <a:effectLst/>
            </c:spPr>
            <c:extLst>
              <c:ext xmlns:c16="http://schemas.microsoft.com/office/drawing/2014/chart" uri="{C3380CC4-5D6E-409C-BE32-E72D297353CC}">
                <c16:uniqueId val="{00000005-CF5F-4AFD-85D9-6B4E6C069484}"/>
              </c:ext>
            </c:extLst>
          </c:dPt>
          <c:dPt>
            <c:idx val="3"/>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07-CF5F-4AFD-85D9-6B4E6C069484}"/>
              </c:ext>
            </c:extLst>
          </c:dPt>
          <c:dPt>
            <c:idx val="4"/>
            <c:bubble3D val="0"/>
            <c:spPr>
              <a:solidFill>
                <a:schemeClr val="accent2">
                  <a:tint val="70000"/>
                </a:schemeClr>
              </a:solidFill>
              <a:ln w="19050">
                <a:solidFill>
                  <a:schemeClr val="lt1"/>
                </a:solidFill>
              </a:ln>
              <a:effectLst/>
            </c:spPr>
            <c:extLst>
              <c:ext xmlns:c16="http://schemas.microsoft.com/office/drawing/2014/chart" uri="{C3380CC4-5D6E-409C-BE32-E72D297353CC}">
                <c16:uniqueId val="{00000009-CF5F-4AFD-85D9-6B4E6C069484}"/>
              </c:ext>
            </c:extLst>
          </c:dPt>
          <c:dPt>
            <c:idx val="5"/>
            <c:bubble3D val="0"/>
            <c:spPr>
              <a:solidFill>
                <a:schemeClr val="accent2">
                  <a:tint val="50000"/>
                </a:schemeClr>
              </a:solidFill>
              <a:ln w="19050">
                <a:solidFill>
                  <a:schemeClr val="lt1"/>
                </a:solidFill>
              </a:ln>
              <a:effectLst/>
            </c:spPr>
            <c:extLst>
              <c:ext xmlns:c16="http://schemas.microsoft.com/office/drawing/2014/chart" uri="{C3380CC4-5D6E-409C-BE32-E72D297353CC}">
                <c16:uniqueId val="{0000000B-CF5F-4AFD-85D9-6B4E6C069484}"/>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[1]Sheet3!$J$15:$J$20</c:f>
              <c:strCache>
                <c:ptCount val="6"/>
                <c:pt idx="0">
                  <c:v>Capital Markets</c:v>
                </c:pt>
                <c:pt idx="1">
                  <c:v>Industrial Products</c:v>
                </c:pt>
                <c:pt idx="2">
                  <c:v>Electrical Equipment</c:v>
                </c:pt>
                <c:pt idx="3">
                  <c:v>Others</c:v>
                </c:pt>
                <c:pt idx="4">
                  <c:v>Auto Components</c:v>
                </c:pt>
                <c:pt idx="5">
                  <c:v>Ferrous Metals</c:v>
                </c:pt>
              </c:strCache>
            </c:strRef>
          </c:cat>
          <c:val>
            <c:numRef>
              <c:f>[1]Sheet3!$K$15:$K$20</c:f>
              <c:numCache>
                <c:formatCode>General</c:formatCode>
                <c:ptCount val="6"/>
                <c:pt idx="0">
                  <c:v>0.1346</c:v>
                </c:pt>
                <c:pt idx="1">
                  <c:v>0.1153</c:v>
                </c:pt>
                <c:pt idx="2">
                  <c:v>9.8000000000000004E-2</c:v>
                </c:pt>
                <c:pt idx="3">
                  <c:v>9.3600000000000003E-2</c:v>
                </c:pt>
                <c:pt idx="4">
                  <c:v>8.9899999999999994E-2</c:v>
                </c:pt>
                <c:pt idx="5">
                  <c:v>7.2699999999999987E-2</c:v>
                </c:pt>
              </c:numCache>
            </c:numRef>
          </c:val>
          <c:extLst>
            <c:ext xmlns:c16="http://schemas.microsoft.com/office/drawing/2014/chart" uri="{C3380CC4-5D6E-409C-BE32-E72D297353CC}">
              <c16:uniqueId val="{0000000C-CF5F-4AFD-85D9-6B4E6C069484}"/>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0.609994016307565"/>
          <c:y val="0.14050786960383588"/>
          <c:w val="0.36965437846357879"/>
          <c:h val="0.697387417363066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bar"/>
        <c:grouping val="clustered"/>
        <c:varyColors val="0"/>
        <c:ser>
          <c:idx val="0"/>
          <c:order val="0"/>
          <c:spPr>
            <a:solidFill>
              <a:schemeClr val="accent2"/>
            </a:solidFill>
            <a:ln>
              <a:noFill/>
            </a:ln>
            <a:effectLst/>
          </c:spPr>
          <c:invertIfNegative val="0"/>
          <c:dLbls>
            <c:numFmt formatCode="#,##0.00&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'[1]portfolio analysis'!$J$14:$J$16</c:f>
              <c:strCache>
                <c:ptCount val="3"/>
                <c:pt idx="0">
                  <c:v>Cyclical</c:v>
                </c:pt>
                <c:pt idx="1">
                  <c:v>Sensitive</c:v>
                </c:pt>
                <c:pt idx="2">
                  <c:v>Defensive</c:v>
                </c:pt>
              </c:strCache>
            </c:strRef>
          </c:cat>
          <c:val>
            <c:numRef>
              <c:f>'[1]portfolio analysis'!$K$14:$K$16</c:f>
              <c:numCache>
                <c:formatCode>General</c:formatCode>
                <c:ptCount val="3"/>
                <c:pt idx="0">
                  <c:v>66.11</c:v>
                </c:pt>
                <c:pt idx="1">
                  <c:v>31.93</c:v>
                </c:pt>
                <c:pt idx="2">
                  <c:v>1.96</c:v>
                </c:pt>
              </c:numCache>
            </c:numRef>
          </c:val>
          <c:extLst>
            <c:ext xmlns:c16="http://schemas.microsoft.com/office/drawing/2014/chart" uri="{C3380CC4-5D6E-409C-BE32-E72D297353CC}">
              <c16:uniqueId val="{00000000-425D-42B1-B041-73124F0953E4}"/>
            </c:ext>
          </c:extLst>
        </c:ser>
        <c:dLbls>
          <c:dLblPos val="outEnd"/>
          <c:showLegendKey val="0"/>
          <c:showVal val="1"/>
          <c:showCatName val="0"/>
          <c:showSerName val="0"/>
          <c:showPercent val="0"/>
          <c:showBubbleSize val="0"/>
        </c:dLbls>
        <c:gapWidth val="182"/>
        <c:axId val="141841584"/>
        <c:axId val="141853584"/>
      </c:barChart>
      <c:catAx>
        <c:axId val="14184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Book Antiqua" panose="02040602050305030304" pitchFamily="18" charset="0"/>
                <a:ea typeface="+mn-ea"/>
                <a:cs typeface="+mn-cs"/>
              </a:defRPr>
            </a:pPr>
            <a:endParaRPr lang="en-US"/>
          </a:p>
        </c:txPr>
        <c:crossAx val="141853584"/>
        <c:crosses val="autoZero"/>
        <c:auto val="1"/>
        <c:lblAlgn val="ctr"/>
        <c:lblOffset val="100"/>
        <c:noMultiLvlLbl val="0"/>
      </c:catAx>
      <c:valAx>
        <c:axId val="141853584"/>
        <c:scaling>
          <c:orientation val="minMax"/>
        </c:scaling>
        <c:delete val="0"/>
        <c:axPos val="b"/>
        <c:majorGridlines>
          <c:spPr>
            <a:ln w="9525" cap="flat" cmpd="sng" algn="ctr">
              <a:solidFill>
                <a:schemeClr val="tx1">
                  <a:lumMod val="15000"/>
                  <a:lumOff val="85000"/>
                </a:schemeClr>
              </a:solidFill>
              <a:round/>
            </a:ln>
            <a:effectLst/>
          </c:spPr>
        </c:majorGridlines>
        <c:numFmt formatCode="#,##0&quot;%&quot;\ ;\-#,##0&quot;%&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Book Antiqua" panose="02040602050305030304" pitchFamily="18" charset="0"/>
                <a:ea typeface="+mn-ea"/>
                <a:cs typeface="+mn-cs"/>
              </a:defRPr>
            </a:pPr>
            <a:endParaRPr lang="en-US"/>
          </a:p>
        </c:txPr>
        <c:crossAx val="1418415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c:spPr>
          <c:invertIfNegative val="0"/>
          <c:dLbls>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'[1]portfolio analysis'!$J$20:$J$21</c:f>
              <c:strCache>
                <c:ptCount val="2"/>
                <c:pt idx="0">
                  <c:v>Equity </c:v>
                </c:pt>
                <c:pt idx="1">
                  <c:v>Cash </c:v>
                </c:pt>
              </c:strCache>
            </c:strRef>
          </c:cat>
          <c:val>
            <c:numRef>
              <c:f>'[1]portfolio analysis'!$K$20:$K$21</c:f>
              <c:numCache>
                <c:formatCode>General</c:formatCode>
                <c:ptCount val="2"/>
                <c:pt idx="0">
                  <c:v>97.9</c:v>
                </c:pt>
                <c:pt idx="1">
                  <c:v>2.1</c:v>
                </c:pt>
              </c:numCache>
            </c:numRef>
          </c:val>
          <c:extLst>
            <c:ext xmlns:c16="http://schemas.microsoft.com/office/drawing/2014/chart" uri="{C3380CC4-5D6E-409C-BE32-E72D297353CC}">
              <c16:uniqueId val="{00000000-4B80-45DF-9904-26B2276F5FDB}"/>
            </c:ext>
          </c:extLst>
        </c:ser>
        <c:dLbls>
          <c:dLblPos val="outEnd"/>
          <c:showLegendKey val="0"/>
          <c:showVal val="1"/>
          <c:showCatName val="0"/>
          <c:showSerName val="0"/>
          <c:showPercent val="0"/>
          <c:showBubbleSize val="0"/>
        </c:dLbls>
        <c:gapWidth val="182"/>
        <c:axId val="141861264"/>
        <c:axId val="141854544"/>
      </c:barChart>
      <c:catAx>
        <c:axId val="14186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41854544"/>
        <c:crosses val="autoZero"/>
        <c:auto val="1"/>
        <c:lblAlgn val="ctr"/>
        <c:lblOffset val="100"/>
        <c:noMultiLvlLbl val="0"/>
      </c:catAx>
      <c:valAx>
        <c:axId val="141854544"/>
        <c:scaling>
          <c:orientation val="minMax"/>
        </c:scaling>
        <c:delete val="0"/>
        <c:axPos val="b"/>
        <c:majorGridlines>
          <c:spPr>
            <a:ln w="9525" cap="flat" cmpd="sng" algn="ctr">
              <a:solidFill>
                <a:schemeClr val="tx1">
                  <a:lumMod val="15000"/>
                  <a:lumOff val="85000"/>
                </a:schemeClr>
              </a:solidFill>
              <a:round/>
            </a:ln>
            <a:effectLst/>
          </c:spPr>
        </c:majorGridlines>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418612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c:spPr>
          <c:invertIfNegative val="0"/>
          <c:dLbls>
            <c:numFmt formatCode="#,##0.00&quot;%&quot;\ ;\-#,##0.00&quot;%&quot;\ " sourceLinked="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'[1]portfolio analysis'!$J$26:$J$28</c:f>
              <c:strCache>
                <c:ptCount val="3"/>
                <c:pt idx="0">
                  <c:v>Large Cap</c:v>
                </c:pt>
                <c:pt idx="1">
                  <c:v>Mid Cap</c:v>
                </c:pt>
                <c:pt idx="2">
                  <c:v>Small Cap</c:v>
                </c:pt>
              </c:strCache>
            </c:strRef>
          </c:cat>
          <c:val>
            <c:numRef>
              <c:f>'[1]portfolio analysis'!$K$26:$K$28</c:f>
              <c:numCache>
                <c:formatCode>General</c:formatCode>
                <c:ptCount val="3"/>
                <c:pt idx="0">
                  <c:v>23.05</c:v>
                </c:pt>
                <c:pt idx="1">
                  <c:v>66.03</c:v>
                </c:pt>
                <c:pt idx="2">
                  <c:v>10.92</c:v>
                </c:pt>
              </c:numCache>
            </c:numRef>
          </c:val>
          <c:extLst>
            <c:ext xmlns:c16="http://schemas.microsoft.com/office/drawing/2014/chart" uri="{C3380CC4-5D6E-409C-BE32-E72D297353CC}">
              <c16:uniqueId val="{00000000-D07A-4544-99B3-B3416CA23B56}"/>
            </c:ext>
          </c:extLst>
        </c:ser>
        <c:dLbls>
          <c:dLblPos val="outEnd"/>
          <c:showLegendKey val="0"/>
          <c:showVal val="1"/>
          <c:showCatName val="0"/>
          <c:showSerName val="0"/>
          <c:showPercent val="0"/>
          <c:showBubbleSize val="0"/>
        </c:dLbls>
        <c:gapWidth val="326"/>
        <c:overlap val="-58"/>
        <c:axId val="238950064"/>
        <c:axId val="243068320"/>
      </c:barChart>
      <c:catAx>
        <c:axId val="23895006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Book Antiqua" panose="02040602050305030304" pitchFamily="18" charset="0"/>
                <a:ea typeface="+mn-ea"/>
                <a:cs typeface="+mn-cs"/>
              </a:defRPr>
            </a:pPr>
            <a:endParaRPr lang="en-US"/>
          </a:p>
        </c:txPr>
        <c:crossAx val="243068320"/>
        <c:crosses val="autoZero"/>
        <c:auto val="1"/>
        <c:lblAlgn val="ctr"/>
        <c:lblOffset val="100"/>
        <c:noMultiLvlLbl val="0"/>
      </c:catAx>
      <c:valAx>
        <c:axId val="24306832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Book Antiqua" panose="02040602050305030304" pitchFamily="18" charset="0"/>
                <a:ea typeface="+mn-ea"/>
                <a:cs typeface="+mn-cs"/>
              </a:defRPr>
            </a:pPr>
            <a:endParaRPr lang="en-US"/>
          </a:p>
        </c:txPr>
        <c:crossAx val="2389500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800">
          <a:latin typeface="Book Antiqua" panose="0204060205030503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'[1]SIP Return '!$C$4</c:f>
              <c:strCache>
                <c:ptCount val="1"/>
                <c:pt idx="0">
                  <c:v>Invested Amount </c:v>
                </c:pt>
              </c:strCache>
            </c:strRef>
          </c:tx>
          <c:spPr>
            <a:solidFill>
              <a:schemeClr val="accent2">
                <a:lumMod val="60000"/>
                <a:lumOff val="40000"/>
              </a:schemeClr>
            </a:solidFill>
            <a:ln>
              <a:noFill/>
            </a:ln>
            <a:effectLst/>
          </c:spPr>
          <c:invertIfNegative val="0"/>
          <c:cat>
            <c:numRef>
              <c:f>'[1]SIP Return '!$B$5:$B$8</c:f>
              <c:numCache>
                <c:formatCode>General</c:formatCode>
                <c:ptCount val="4"/>
                <c:pt idx="0">
                  <c:v>7</c:v>
                </c:pt>
                <c:pt idx="1">
                  <c:v>5</c:v>
                </c:pt>
                <c:pt idx="2">
                  <c:v>3</c:v>
                </c:pt>
                <c:pt idx="3">
                  <c:v>1</c:v>
                </c:pt>
              </c:numCache>
            </c:numRef>
          </c:cat>
          <c:val>
            <c:numRef>
              <c:f>'[1]SIP Return '!$C$5:$C$8</c:f>
              <c:numCache>
                <c:formatCode>General</c:formatCode>
                <c:ptCount val="4"/>
                <c:pt idx="0">
                  <c:v>8.4</c:v>
                </c:pt>
                <c:pt idx="1">
                  <c:v>6</c:v>
                </c:pt>
                <c:pt idx="2">
                  <c:v>3.6</c:v>
                </c:pt>
                <c:pt idx="3">
                  <c:v>1.2</c:v>
                </c:pt>
              </c:numCache>
            </c:numRef>
          </c:val>
          <c:extLst>
            <c:ext xmlns:c16="http://schemas.microsoft.com/office/drawing/2014/chart" uri="{C3380CC4-5D6E-409C-BE32-E72D297353CC}">
              <c16:uniqueId val="{00000000-C491-4FF8-8361-A62DBEA3E6E5}"/>
            </c:ext>
          </c:extLst>
        </c:ser>
        <c:ser>
          <c:idx val="1"/>
          <c:order val="1"/>
          <c:tx>
            <c:strRef>
              <c:f>'[1]SIP Return '!$D$4</c:f>
              <c:strCache>
                <c:ptCount val="1"/>
                <c:pt idx="0">
                  <c:v>Market Value </c:v>
                </c:pt>
              </c:strCache>
            </c:strRef>
          </c:tx>
          <c:spPr>
            <a:solidFill>
              <a:schemeClr val="accent2">
                <a:lumMod val="75000"/>
              </a:schemeClr>
            </a:solidFill>
            <a:ln>
              <a:noFill/>
            </a:ln>
            <a:effectLst/>
          </c:spPr>
          <c:invertIfNegative val="0"/>
          <c:cat>
            <c:numRef>
              <c:f>'[1]SIP Return '!$B$5:$B$8</c:f>
              <c:numCache>
                <c:formatCode>General</c:formatCode>
                <c:ptCount val="4"/>
                <c:pt idx="0">
                  <c:v>7</c:v>
                </c:pt>
                <c:pt idx="1">
                  <c:v>5</c:v>
                </c:pt>
                <c:pt idx="2">
                  <c:v>3</c:v>
                </c:pt>
                <c:pt idx="3">
                  <c:v>1</c:v>
                </c:pt>
              </c:numCache>
            </c:numRef>
          </c:cat>
          <c:val>
            <c:numRef>
              <c:f>'[1]SIP Return '!$D$5:$D$8</c:f>
              <c:numCache>
                <c:formatCode>General</c:formatCode>
                <c:ptCount val="4"/>
                <c:pt idx="0">
                  <c:v>19.010829999999999</c:v>
                </c:pt>
                <c:pt idx="1">
                  <c:v>9.9342699999999997</c:v>
                </c:pt>
                <c:pt idx="2">
                  <c:v>4.7152500000000002</c:v>
                </c:pt>
                <c:pt idx="3">
                  <c:v>1.3182700000000001</c:v>
                </c:pt>
              </c:numCache>
            </c:numRef>
          </c:val>
          <c:extLst>
            <c:ext xmlns:c16="http://schemas.microsoft.com/office/drawing/2014/chart" uri="{C3380CC4-5D6E-409C-BE32-E72D297353CC}">
              <c16:uniqueId val="{00000001-C491-4FF8-8361-A62DBEA3E6E5}"/>
            </c:ext>
          </c:extLst>
        </c:ser>
        <c:dLbls>
          <c:showLegendKey val="0"/>
          <c:showVal val="0"/>
          <c:showCatName val="0"/>
          <c:showSerName val="0"/>
          <c:showPercent val="0"/>
          <c:showBubbleSize val="0"/>
        </c:dLbls>
        <c:gapWidth val="219"/>
        <c:overlap val="-27"/>
        <c:axId val="1706999999"/>
        <c:axId val="1707000479"/>
      </c:barChart>
      <c:lineChart>
        <c:grouping val="standard"/>
        <c:varyColors val="0"/>
        <c:ser>
          <c:idx val="2"/>
          <c:order val="2"/>
          <c:tx>
            <c:strRef>
              <c:f>'[1]SIP Return '!$E$4</c:f>
              <c:strCache>
                <c:ptCount val="1"/>
                <c:pt idx="0">
                  <c:v>XIRR</c:v>
                </c:pt>
              </c:strCache>
            </c:strRef>
          </c:tx>
          <c:spPr>
            <a:ln w="25400" cap="rnd">
              <a:solidFill>
                <a:schemeClr val="accent2"/>
              </a:solidFill>
              <a:round/>
            </a:ln>
            <a:effectLst/>
          </c:spPr>
          <c:marker>
            <c:symbol val="circle"/>
            <c:size val="5"/>
            <c:spPr>
              <a:solidFill>
                <a:schemeClr val="accent2">
                  <a:lumMod val="20000"/>
                  <a:lumOff val="80000"/>
                </a:schemeClr>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'[1]SIP Return '!$B$5:$B$8</c:f>
              <c:numCache>
                <c:formatCode>General</c:formatCode>
                <c:ptCount val="4"/>
                <c:pt idx="0">
                  <c:v>7</c:v>
                </c:pt>
                <c:pt idx="1">
                  <c:v>5</c:v>
                </c:pt>
                <c:pt idx="2">
                  <c:v>3</c:v>
                </c:pt>
                <c:pt idx="3">
                  <c:v>1</c:v>
                </c:pt>
              </c:numCache>
            </c:numRef>
          </c:cat>
          <c:val>
            <c:numRef>
              <c:f>'[1]SIP Return '!$E$5:$E$8</c:f>
              <c:numCache>
                <c:formatCode>General</c:formatCode>
                <c:ptCount val="4"/>
                <c:pt idx="0">
                  <c:v>0.22950000000000001</c:v>
                </c:pt>
                <c:pt idx="1">
                  <c:v>0.20300000000000001</c:v>
                </c:pt>
                <c:pt idx="2">
                  <c:v>0.18390000000000001</c:v>
                </c:pt>
                <c:pt idx="3">
                  <c:v>0.18920000000000001</c:v>
                </c:pt>
              </c:numCache>
            </c:numRef>
          </c:val>
          <c:smooth val="0"/>
          <c:extLst>
            <c:ext xmlns:c16="http://schemas.microsoft.com/office/drawing/2014/chart" uri="{C3380CC4-5D6E-409C-BE32-E72D297353CC}">
              <c16:uniqueId val="{00000002-C491-4FF8-8361-A62DBEA3E6E5}"/>
            </c:ext>
          </c:extLst>
        </c:ser>
        <c:dLbls>
          <c:showLegendKey val="0"/>
          <c:showVal val="0"/>
          <c:showCatName val="0"/>
          <c:showSerName val="0"/>
          <c:showPercent val="0"/>
          <c:showBubbleSize val="0"/>
        </c:dLbls>
        <c:marker val="1"/>
        <c:smooth val="0"/>
        <c:axId val="2124036639"/>
        <c:axId val="2124035199"/>
      </c:lineChart>
      <c:catAx>
        <c:axId val="1706999999"/>
        <c:scaling>
          <c:orientation val="minMax"/>
        </c:scaling>
        <c:delete val="0"/>
        <c:axPos val="b"/>
        <c:numFmt formatCode="#,##0\ &quot;Years&quot;\ ;\-#,##0\ &quot;Yea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707000479"/>
        <c:crosses val="autoZero"/>
        <c:auto val="1"/>
        <c:lblAlgn val="ctr"/>
        <c:lblOffset val="100"/>
        <c:noMultiLvlLbl val="0"/>
      </c:catAx>
      <c:valAx>
        <c:axId val="1707000479"/>
        <c:scaling>
          <c:orientation val="minMax"/>
        </c:scaling>
        <c:delete val="0"/>
        <c:axPos val="l"/>
        <c:numFmt formatCode="#,##0&quot;L&quot;\ ;\-#,###&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706999999"/>
        <c:crosses val="autoZero"/>
        <c:crossBetween val="between"/>
      </c:valAx>
      <c:valAx>
        <c:axId val="212403519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2124036639"/>
        <c:crosses val="max"/>
        <c:crossBetween val="between"/>
      </c:valAx>
      <c:catAx>
        <c:axId val="2124036639"/>
        <c:scaling>
          <c:orientation val="minMax"/>
        </c:scaling>
        <c:delete val="1"/>
        <c:axPos val="b"/>
        <c:numFmt formatCode="General" sourceLinked="1"/>
        <c:majorTickMark val="none"/>
        <c:minorTickMark val="none"/>
        <c:tickLblPos val="nextTo"/>
        <c:crossAx val="21240351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'[1]SIP Return '!$C$13</c:f>
              <c:strCache>
                <c:ptCount val="1"/>
                <c:pt idx="0">
                  <c:v>Invested Amount </c:v>
                </c:pt>
              </c:strCache>
            </c:strRef>
          </c:tx>
          <c:spPr>
            <a:solidFill>
              <a:schemeClr val="accent2">
                <a:lumMod val="60000"/>
                <a:lumOff val="40000"/>
              </a:schemeClr>
            </a:solidFill>
            <a:ln>
              <a:solidFill>
                <a:schemeClr val="accent2">
                  <a:lumMod val="60000"/>
                  <a:lumOff val="40000"/>
                </a:schemeClr>
              </a:solidFill>
            </a:ln>
            <a:effectLst/>
          </c:spPr>
          <c:invertIfNegative val="0"/>
          <c:cat>
            <c:numRef>
              <c:f>'[1]SIP Return '!$B$14:$B$17</c:f>
              <c:numCache>
                <c:formatCode>General</c:formatCode>
                <c:ptCount val="4"/>
                <c:pt idx="0">
                  <c:v>7</c:v>
                </c:pt>
                <c:pt idx="1">
                  <c:v>5</c:v>
                </c:pt>
                <c:pt idx="2">
                  <c:v>3</c:v>
                </c:pt>
                <c:pt idx="3">
                  <c:v>1</c:v>
                </c:pt>
              </c:numCache>
            </c:numRef>
          </c:cat>
          <c:val>
            <c:numRef>
              <c:f>'[1]SIP Return '!$C$14:$C$17</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51C6-4CFC-8631-BB0EDB165CFA}"/>
            </c:ext>
          </c:extLst>
        </c:ser>
        <c:ser>
          <c:idx val="1"/>
          <c:order val="1"/>
          <c:tx>
            <c:strRef>
              <c:f>'[1]SIP Return '!$D$13</c:f>
              <c:strCache>
                <c:ptCount val="1"/>
                <c:pt idx="0">
                  <c:v>Market Value </c:v>
                </c:pt>
              </c:strCache>
            </c:strRef>
          </c:tx>
          <c:spPr>
            <a:solidFill>
              <a:schemeClr val="accent2">
                <a:lumMod val="75000"/>
              </a:schemeClr>
            </a:solidFill>
            <a:ln>
              <a:solidFill>
                <a:schemeClr val="accent2"/>
              </a:solidFill>
            </a:ln>
            <a:effectLst/>
          </c:spPr>
          <c:invertIfNegative val="0"/>
          <c:cat>
            <c:numRef>
              <c:f>'[1]SIP Return '!$B$14:$B$17</c:f>
              <c:numCache>
                <c:formatCode>General</c:formatCode>
                <c:ptCount val="4"/>
                <c:pt idx="0">
                  <c:v>7</c:v>
                </c:pt>
                <c:pt idx="1">
                  <c:v>5</c:v>
                </c:pt>
                <c:pt idx="2">
                  <c:v>3</c:v>
                </c:pt>
                <c:pt idx="3">
                  <c:v>1</c:v>
                </c:pt>
              </c:numCache>
            </c:numRef>
          </c:cat>
          <c:val>
            <c:numRef>
              <c:f>'[1]SIP Return '!$D$14:$D$17</c:f>
              <c:numCache>
                <c:formatCode>General</c:formatCode>
                <c:ptCount val="4"/>
                <c:pt idx="0">
                  <c:v>3.8173146088993684</c:v>
                </c:pt>
                <c:pt idx="1">
                  <c:v>2.296495575433668</c:v>
                </c:pt>
                <c:pt idx="2">
                  <c:v>1.8914422348629998</c:v>
                </c:pt>
                <c:pt idx="3">
                  <c:v>1.1143000000000001</c:v>
                </c:pt>
              </c:numCache>
            </c:numRef>
          </c:val>
          <c:extLst>
            <c:ext xmlns:c16="http://schemas.microsoft.com/office/drawing/2014/chart" uri="{C3380CC4-5D6E-409C-BE32-E72D297353CC}">
              <c16:uniqueId val="{00000001-51C6-4CFC-8631-BB0EDB165CFA}"/>
            </c:ext>
          </c:extLst>
        </c:ser>
        <c:dLbls>
          <c:showLegendKey val="0"/>
          <c:showVal val="0"/>
          <c:showCatName val="0"/>
          <c:showSerName val="0"/>
          <c:showPercent val="0"/>
          <c:showBubbleSize val="0"/>
        </c:dLbls>
        <c:gapWidth val="219"/>
        <c:overlap val="-27"/>
        <c:axId val="1752787472"/>
        <c:axId val="1752777392"/>
      </c:barChart>
      <c:lineChart>
        <c:grouping val="standard"/>
        <c:varyColors val="0"/>
        <c:ser>
          <c:idx val="2"/>
          <c:order val="2"/>
          <c:tx>
            <c:strRef>
              <c:f>'[1]SIP Return '!$E$13</c:f>
              <c:strCache>
                <c:ptCount val="1"/>
                <c:pt idx="0">
                  <c:v>CAGR</c:v>
                </c:pt>
              </c:strCache>
            </c:strRef>
          </c:tx>
          <c:spPr>
            <a:ln w="28575" cap="rnd">
              <a:solidFill>
                <a:schemeClr val="accent2"/>
              </a:solidFill>
              <a:round/>
            </a:ln>
            <a:effectLst/>
          </c:spPr>
          <c:marker>
            <c:symbol val="circle"/>
            <c:size val="5"/>
            <c:spPr>
              <a:solidFill>
                <a:schemeClr val="accent2">
                  <a:lumMod val="40000"/>
                  <a:lumOff val="60000"/>
                </a:schemeClr>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'[1]SIP Return '!$B$14:$B$17</c:f>
              <c:numCache>
                <c:formatCode>General</c:formatCode>
                <c:ptCount val="4"/>
                <c:pt idx="0">
                  <c:v>7</c:v>
                </c:pt>
                <c:pt idx="1">
                  <c:v>5</c:v>
                </c:pt>
                <c:pt idx="2">
                  <c:v>3</c:v>
                </c:pt>
                <c:pt idx="3">
                  <c:v>1</c:v>
                </c:pt>
              </c:numCache>
            </c:numRef>
          </c:cat>
          <c:val>
            <c:numRef>
              <c:f>'[1]SIP Return '!$E$14:$E$17</c:f>
              <c:numCache>
                <c:formatCode>General</c:formatCode>
                <c:ptCount val="4"/>
                <c:pt idx="0">
                  <c:v>0.2109</c:v>
                </c:pt>
                <c:pt idx="1">
                  <c:v>0.18090000000000001</c:v>
                </c:pt>
                <c:pt idx="2">
                  <c:v>0.23669999999999999</c:v>
                </c:pt>
                <c:pt idx="3">
                  <c:v>0.1143</c:v>
                </c:pt>
              </c:numCache>
            </c:numRef>
          </c:val>
          <c:smooth val="0"/>
          <c:extLst>
            <c:ext xmlns:c16="http://schemas.microsoft.com/office/drawing/2014/chart" uri="{C3380CC4-5D6E-409C-BE32-E72D297353CC}">
              <c16:uniqueId val="{00000002-51C6-4CFC-8631-BB0EDB165CFA}"/>
            </c:ext>
          </c:extLst>
        </c:ser>
        <c:dLbls>
          <c:showLegendKey val="0"/>
          <c:showVal val="0"/>
          <c:showCatName val="0"/>
          <c:showSerName val="0"/>
          <c:showPercent val="0"/>
          <c:showBubbleSize val="0"/>
        </c:dLbls>
        <c:marker val="1"/>
        <c:smooth val="0"/>
        <c:axId val="1752784112"/>
        <c:axId val="1752780752"/>
      </c:lineChart>
      <c:catAx>
        <c:axId val="1752787472"/>
        <c:scaling>
          <c:orientation val="minMax"/>
        </c:scaling>
        <c:delete val="0"/>
        <c:axPos val="b"/>
        <c:numFmt formatCode="#,##0\ &quot;Yea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752777392"/>
        <c:crosses val="autoZero"/>
        <c:auto val="1"/>
        <c:lblAlgn val="ctr"/>
        <c:lblOffset val="100"/>
        <c:noMultiLvlLbl val="0"/>
      </c:catAx>
      <c:valAx>
        <c:axId val="1752777392"/>
        <c:scaling>
          <c:orientation val="minMax"/>
        </c:scaling>
        <c:delete val="0"/>
        <c:axPos val="l"/>
        <c:numFmt formatCode="#,##0&quot;L&quot;\ ;\-#,##0&quot;L&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752787472"/>
        <c:crosses val="autoZero"/>
        <c:crossBetween val="between"/>
      </c:valAx>
      <c:valAx>
        <c:axId val="17527807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752784112"/>
        <c:crosses val="max"/>
        <c:crossBetween val="between"/>
      </c:valAx>
      <c:catAx>
        <c:axId val="1752784112"/>
        <c:scaling>
          <c:orientation val="minMax"/>
        </c:scaling>
        <c:delete val="1"/>
        <c:axPos val="b"/>
        <c:numFmt formatCode="General" sourceLinked="1"/>
        <c:majorTickMark val="none"/>
        <c:minorTickMark val="none"/>
        <c:tickLblPos val="nextTo"/>
        <c:crossAx val="17527807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7</xdr:col>
      <xdr:colOff>56745</xdr:colOff>
      <xdr:row>21</xdr:row>
      <xdr:rowOff>40531</xdr:rowOff>
    </xdr:from>
    <xdr:to>
      <xdr:col>12</xdr:col>
      <xdr:colOff>551235</xdr:colOff>
      <xdr:row>28</xdr:row>
      <xdr:rowOff>72958</xdr:rowOff>
    </xdr:to>
    <xdr:graphicFrame macro="">
      <xdr:nvGraphicFramePr>
        <xdr:cNvPr id="2" name="Chart 1">
          <a:extLst>
            <a:ext uri="{FF2B5EF4-FFF2-40B4-BE49-F238E27FC236}">
              <a16:creationId xmlns:a16="http://schemas.microsoft.com/office/drawing/2014/main" id="{6634477D-809B-4866-87D3-F6E4655F5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49390</xdr:colOff>
      <xdr:row>133</xdr:row>
      <xdr:rowOff>42333</xdr:rowOff>
    </xdr:from>
    <xdr:to>
      <xdr:col>6</xdr:col>
      <xdr:colOff>480344</xdr:colOff>
      <xdr:row>141</xdr:row>
      <xdr:rowOff>87347</xdr:rowOff>
    </xdr:to>
    <xdr:graphicFrame macro="">
      <xdr:nvGraphicFramePr>
        <xdr:cNvPr id="3" name="Chart 2">
          <a:extLst>
            <a:ext uri="{FF2B5EF4-FFF2-40B4-BE49-F238E27FC236}">
              <a16:creationId xmlns:a16="http://schemas.microsoft.com/office/drawing/2014/main" id="{6CF70E6D-FF13-4632-A580-ADB7705CA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105832</xdr:colOff>
      <xdr:row>21</xdr:row>
      <xdr:rowOff>0</xdr:rowOff>
    </xdr:from>
    <xdr:to>
      <xdr:col>6</xdr:col>
      <xdr:colOff>684389</xdr:colOff>
      <xdr:row>28</xdr:row>
      <xdr:rowOff>42334</xdr:rowOff>
    </xdr:to>
    <xdr:graphicFrame macro="">
      <xdr:nvGraphicFramePr>
        <xdr:cNvPr id="4" name="Chart 3">
          <a:extLst>
            <a:ext uri="{FF2B5EF4-FFF2-40B4-BE49-F238E27FC236}">
              <a16:creationId xmlns:a16="http://schemas.microsoft.com/office/drawing/2014/main" id="{CF0B61E8-AD24-4A36-89E0-CE1C9258B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529192</xdr:colOff>
      <xdr:row>133</xdr:row>
      <xdr:rowOff>49388</xdr:rowOff>
    </xdr:from>
    <xdr:to>
      <xdr:col>13</xdr:col>
      <xdr:colOff>98803</xdr:colOff>
      <xdr:row>141</xdr:row>
      <xdr:rowOff>98777</xdr:rowOff>
    </xdr:to>
    <xdr:graphicFrame macro="">
      <xdr:nvGraphicFramePr>
        <xdr:cNvPr id="5" name="Chart 4">
          <a:extLst>
            <a:ext uri="{FF2B5EF4-FFF2-40B4-BE49-F238E27FC236}">
              <a16:creationId xmlns:a16="http://schemas.microsoft.com/office/drawing/2014/main" id="{530DCCBB-8D3F-4FA9-B2C3-2DE2D1EFE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75</xdr:row>
      <xdr:rowOff>0</xdr:rowOff>
    </xdr:from>
    <xdr:to>
      <xdr:col>7</xdr:col>
      <xdr:colOff>20781</xdr:colOff>
      <xdr:row>84</xdr:row>
      <xdr:rowOff>19756</xdr:rowOff>
    </xdr:to>
    <xdr:graphicFrame macro="">
      <xdr:nvGraphicFramePr>
        <xdr:cNvPr id="6" name="Chart 5">
          <a:extLst>
            <a:ext uri="{FF2B5EF4-FFF2-40B4-BE49-F238E27FC236}">
              <a16:creationId xmlns:a16="http://schemas.microsoft.com/office/drawing/2014/main" id="{F3B7D4A0-4E36-4593-98EE-917BB2583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314675</xdr:colOff>
      <xdr:row>30</xdr:row>
      <xdr:rowOff>125591</xdr:rowOff>
    </xdr:from>
    <xdr:to>
      <xdr:col>6</xdr:col>
      <xdr:colOff>321730</xdr:colOff>
      <xdr:row>38</xdr:row>
      <xdr:rowOff>58321</xdr:rowOff>
    </xdr:to>
    <xdr:pic>
      <xdr:nvPicPr>
        <xdr:cNvPr id="7" name="Graphic 6">
          <a:extLst>
            <a:ext uri="{FF2B5EF4-FFF2-40B4-BE49-F238E27FC236}">
              <a16:creationId xmlns:a16="http://schemas.microsoft.com/office/drawing/2014/main" id="{36B14256-DD47-4CB1-B4BF-601E66DF0659}"/>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rcRect l="7227" t="11129" r="7459" b="14907"/>
        <a:stretch>
          <a:fillRect/>
        </a:stretch>
      </xdr:blipFill>
      <xdr:spPr>
        <a:xfrm>
          <a:off x="3553175" y="5817731"/>
          <a:ext cx="2331155" cy="1395770"/>
        </a:xfrm>
        <a:prstGeom prst="rect">
          <a:avLst/>
        </a:prstGeom>
      </xdr:spPr>
    </xdr:pic>
    <xdr:clientData/>
  </xdr:twoCellAnchor>
  <xdr:twoCellAnchor editAs="oneCell">
    <xdr:from>
      <xdr:col>8</xdr:col>
      <xdr:colOff>293534</xdr:colOff>
      <xdr:row>30</xdr:row>
      <xdr:rowOff>123022</xdr:rowOff>
    </xdr:from>
    <xdr:to>
      <xdr:col>12</xdr:col>
      <xdr:colOff>371771</xdr:colOff>
      <xdr:row>38</xdr:row>
      <xdr:rowOff>57596</xdr:rowOff>
    </xdr:to>
    <xdr:pic>
      <xdr:nvPicPr>
        <xdr:cNvPr id="8" name="Graphic 7">
          <a:extLst>
            <a:ext uri="{FF2B5EF4-FFF2-40B4-BE49-F238E27FC236}">
              <a16:creationId xmlns:a16="http://schemas.microsoft.com/office/drawing/2014/main" id="{45719851-11C4-461B-8204-3AAB8EA572F5}"/>
            </a:ext>
          </a:extLst>
        </xdr:cNvPr>
        <xdr:cNvPicPr>
          <a:picLocks noChangeAspect="1"/>
        </xdr:cNvPicPr>
      </xdr:nvPicPr>
      <xdr:blipFill rotWithShape="1">
        <a:blip xmlns:r="http://schemas.openxmlformats.org/officeDocument/2006/relationships" r:embed="rId8">
          <a:extLst>
            <a:ext uri="{96DAC541-7B7A-43D3-8B79-37D633B846F1}">
              <asvg:svgBlip xmlns:asvg="http://schemas.microsoft.com/office/drawing/2016/SVG/main" r:embed="rId9"/>
            </a:ext>
          </a:extLst>
        </a:blip>
        <a:srcRect t="11272" b="15072"/>
        <a:stretch>
          <a:fillRect/>
        </a:stretch>
      </xdr:blipFill>
      <xdr:spPr>
        <a:xfrm>
          <a:off x="6778154" y="5815162"/>
          <a:ext cx="2752857" cy="1397614"/>
        </a:xfrm>
        <a:prstGeom prst="rect">
          <a:avLst/>
        </a:prstGeom>
      </xdr:spPr>
    </xdr:pic>
    <xdr:clientData/>
  </xdr:twoCellAnchor>
  <xdr:twoCellAnchor>
    <xdr:from>
      <xdr:col>8</xdr:col>
      <xdr:colOff>254015</xdr:colOff>
      <xdr:row>75</xdr:row>
      <xdr:rowOff>0</xdr:rowOff>
    </xdr:from>
    <xdr:to>
      <xdr:col>12</xdr:col>
      <xdr:colOff>700438</xdr:colOff>
      <xdr:row>84</xdr:row>
      <xdr:rowOff>23091</xdr:rowOff>
    </xdr:to>
    <xdr:graphicFrame macro="">
      <xdr:nvGraphicFramePr>
        <xdr:cNvPr id="9" name="Chart 8">
          <a:extLst>
            <a:ext uri="{FF2B5EF4-FFF2-40B4-BE49-F238E27FC236}">
              <a16:creationId xmlns:a16="http://schemas.microsoft.com/office/drawing/2014/main" id="{84BBFA5D-FC5E-4D20-AB1B-165761F2C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idhya%20Ekhar\Documents\Mutual%20Fund%20Analysis%20TVA\ICICI%20Midcap%20Fund%20Factsheet%20-%20Working.xlsx" TargetMode="External"/><Relationship Id="rId1" Type="http://schemas.openxmlformats.org/officeDocument/2006/relationships/externalLinkPath" Target="ICICI%20Midcap%20Fund%20Factsheet%20-%20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w"/>
      <sheetName val="SIP Return "/>
      <sheetName val="Sheet1 (2)"/>
      <sheetName val="Sheet1"/>
      <sheetName val="Portfolio"/>
      <sheetName val="Sheet3"/>
      <sheetName val="portfolio analysis"/>
    </sheetNames>
    <sheetDataSet>
      <sheetData sheetId="0"/>
      <sheetData sheetId="1">
        <row r="4">
          <cell r="C4" t="str">
            <v xml:space="preserve">Invested Amount </v>
          </cell>
          <cell r="D4" t="str">
            <v xml:space="preserve">Market Value </v>
          </cell>
          <cell r="E4" t="str">
            <v>XIRR</v>
          </cell>
        </row>
        <row r="5">
          <cell r="B5">
            <v>7</v>
          </cell>
          <cell r="C5">
            <v>8.4</v>
          </cell>
          <cell r="D5">
            <v>19.010829999999999</v>
          </cell>
          <cell r="E5">
            <v>0.22950000000000001</v>
          </cell>
        </row>
        <row r="6">
          <cell r="B6">
            <v>5</v>
          </cell>
          <cell r="C6">
            <v>6</v>
          </cell>
          <cell r="D6">
            <v>9.9342699999999997</v>
          </cell>
          <cell r="E6">
            <v>0.20300000000000001</v>
          </cell>
        </row>
        <row r="7">
          <cell r="B7">
            <v>3</v>
          </cell>
          <cell r="C7">
            <v>3.6</v>
          </cell>
          <cell r="D7">
            <v>4.7152500000000002</v>
          </cell>
          <cell r="E7">
            <v>0.18390000000000001</v>
          </cell>
        </row>
        <row r="8">
          <cell r="B8">
            <v>1</v>
          </cell>
          <cell r="C8">
            <v>1.2</v>
          </cell>
          <cell r="D8">
            <v>1.3182700000000001</v>
          </cell>
          <cell r="E8">
            <v>0.18920000000000001</v>
          </cell>
        </row>
        <row r="13">
          <cell r="C13" t="str">
            <v xml:space="preserve">Invested Amount </v>
          </cell>
          <cell r="D13" t="str">
            <v xml:space="preserve">Market Value </v>
          </cell>
          <cell r="E13" t="str">
            <v>CAGR</v>
          </cell>
        </row>
        <row r="14">
          <cell r="B14">
            <v>7</v>
          </cell>
          <cell r="C14">
            <v>1</v>
          </cell>
          <cell r="D14">
            <v>3.8173146088993684</v>
          </cell>
          <cell r="E14">
            <v>0.2109</v>
          </cell>
        </row>
        <row r="15">
          <cell r="B15">
            <v>5</v>
          </cell>
          <cell r="C15">
            <v>1</v>
          </cell>
          <cell r="D15">
            <v>2.296495575433668</v>
          </cell>
          <cell r="E15">
            <v>0.18090000000000001</v>
          </cell>
        </row>
        <row r="16">
          <cell r="B16">
            <v>3</v>
          </cell>
          <cell r="C16">
            <v>1</v>
          </cell>
          <cell r="D16">
            <v>1.8914422348629998</v>
          </cell>
          <cell r="E16">
            <v>0.23669999999999999</v>
          </cell>
        </row>
        <row r="17">
          <cell r="B17">
            <v>1</v>
          </cell>
          <cell r="C17">
            <v>1</v>
          </cell>
          <cell r="D17">
            <v>1.1143000000000001</v>
          </cell>
          <cell r="E17">
            <v>0.1143</v>
          </cell>
        </row>
      </sheetData>
      <sheetData sheetId="2"/>
      <sheetData sheetId="3"/>
      <sheetData sheetId="4"/>
      <sheetData sheetId="5">
        <row r="15">
          <cell r="J15" t="str">
            <v>Capital Markets</v>
          </cell>
          <cell r="K15">
            <v>0.1346</v>
          </cell>
        </row>
        <row r="16">
          <cell r="J16" t="str">
            <v>Industrial Products</v>
          </cell>
          <cell r="K16">
            <v>0.1153</v>
          </cell>
        </row>
        <row r="17">
          <cell r="J17" t="str">
            <v>Electrical Equipment</v>
          </cell>
          <cell r="K17">
            <v>9.8000000000000004E-2</v>
          </cell>
        </row>
        <row r="18">
          <cell r="J18" t="str">
            <v>Others</v>
          </cell>
          <cell r="K18">
            <v>9.3600000000000003E-2</v>
          </cell>
        </row>
        <row r="19">
          <cell r="J19" t="str">
            <v>Auto Components</v>
          </cell>
          <cell r="K19">
            <v>8.9899999999999994E-2</v>
          </cell>
        </row>
        <row r="20">
          <cell r="J20" t="str">
            <v>Ferrous Metals</v>
          </cell>
          <cell r="K20">
            <v>7.2699999999999987E-2</v>
          </cell>
        </row>
      </sheetData>
      <sheetData sheetId="6">
        <row r="14">
          <cell r="J14" t="str">
            <v>Cyclical</v>
          </cell>
          <cell r="K14">
            <v>66.11</v>
          </cell>
        </row>
        <row r="15">
          <cell r="J15" t="str">
            <v>Sensitive</v>
          </cell>
          <cell r="K15">
            <v>31.93</v>
          </cell>
        </row>
        <row r="16">
          <cell r="J16" t="str">
            <v>Defensive</v>
          </cell>
          <cell r="K16">
            <v>1.96</v>
          </cell>
        </row>
        <row r="20">
          <cell r="J20" t="str">
            <v xml:space="preserve">Equity </v>
          </cell>
          <cell r="K20">
            <v>97.9</v>
          </cell>
        </row>
        <row r="21">
          <cell r="J21" t="str">
            <v xml:space="preserve">Cash </v>
          </cell>
          <cell r="K21">
            <v>2.1</v>
          </cell>
        </row>
        <row r="26">
          <cell r="J26" t="str">
            <v>Large Cap</v>
          </cell>
          <cell r="K26">
            <v>23.05</v>
          </cell>
        </row>
        <row r="27">
          <cell r="J27" t="str">
            <v>Mid Cap</v>
          </cell>
          <cell r="K27">
            <v>66.03</v>
          </cell>
        </row>
        <row r="28">
          <cell r="J28" t="str">
            <v>Small Cap</v>
          </cell>
          <cell r="K28">
            <v>10.92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4A449-050D-4C0A-95E8-5A806DB93CA2}">
  <sheetPr>
    <pageSetUpPr autoPageBreaks="0" fitToPage="1"/>
  </sheetPr>
  <dimension ref="B1:N169"/>
  <sheetViews>
    <sheetView showGridLines="0" tabSelected="1" zoomScale="99" zoomScaleNormal="99" workbookViewId="0">
      <selection activeCell="AA14" sqref="AA14"/>
    </sheetView>
  </sheetViews>
  <sheetFormatPr defaultRowHeight="14.4" x14ac:dyDescent="0.3"/>
  <cols>
    <col min="1" max="1" width="53.33203125" style="1" customWidth="1"/>
    <col min="2" max="2" width="1.5546875" style="1" customWidth="1"/>
    <col min="3" max="4" width="8.21875" style="46" customWidth="1"/>
    <col min="5" max="5" width="8.33203125" style="46" customWidth="1"/>
    <col min="6" max="6" width="9.109375" style="46" customWidth="1"/>
    <col min="7" max="7" width="11.21875" style="46" customWidth="1"/>
    <col min="8" max="8" width="2.21875" style="46" customWidth="1"/>
    <col min="9" max="9" width="8.88671875" style="46" customWidth="1"/>
    <col min="10" max="10" width="10.6640625" style="46" bestFit="1" customWidth="1"/>
    <col min="11" max="11" width="9.6640625" style="46" bestFit="1" customWidth="1"/>
    <col min="12" max="12" width="9.77734375" style="46" bestFit="1" customWidth="1"/>
    <col min="13" max="13" width="10.6640625" style="46" bestFit="1" customWidth="1"/>
    <col min="14" max="14" width="1.5546875" style="1" customWidth="1"/>
    <col min="15" max="16384" width="8.88671875" style="1"/>
  </cols>
  <sheetData>
    <row r="1" spans="2:14" ht="2.4" customHeight="1" x14ac:dyDescent="0.3">
      <c r="B1"/>
      <c r="C1" s="2"/>
      <c r="D1" s="3"/>
      <c r="E1" s="3"/>
      <c r="F1" s="3"/>
      <c r="G1" s="3"/>
      <c r="H1" s="3"/>
      <c r="I1" s="3"/>
      <c r="J1" s="3"/>
      <c r="K1" s="3"/>
      <c r="L1" s="3"/>
      <c r="M1" s="3"/>
      <c r="N1"/>
    </row>
    <row r="2" spans="2:14" ht="6" customHeight="1" x14ac:dyDescent="0.3">
      <c r="B2"/>
      <c r="C2" s="3"/>
      <c r="D2" s="3"/>
      <c r="E2" s="3"/>
      <c r="F2" s="3"/>
      <c r="G2" s="3"/>
      <c r="H2" s="3"/>
      <c r="I2" s="3"/>
      <c r="J2" s="3"/>
      <c r="K2" s="3"/>
      <c r="L2" s="3"/>
      <c r="M2" s="3"/>
      <c r="N2"/>
    </row>
    <row r="3" spans="2:14" ht="20.399999999999999" customHeight="1" x14ac:dyDescent="0.45">
      <c r="B3"/>
      <c r="C3" s="48" t="s">
        <v>0</v>
      </c>
      <c r="D3" s="48"/>
      <c r="E3" s="48"/>
      <c r="F3" s="48"/>
      <c r="G3" s="48"/>
      <c r="H3" s="48"/>
      <c r="I3" s="48"/>
      <c r="J3" s="48"/>
      <c r="K3" s="48"/>
      <c r="L3" s="48"/>
      <c r="M3" s="48"/>
      <c r="N3"/>
    </row>
    <row r="4" spans="2:14" ht="4.2" customHeight="1" x14ac:dyDescent="0.3">
      <c r="B4"/>
      <c r="C4" s="3"/>
      <c r="D4" s="3"/>
      <c r="E4" s="3"/>
      <c r="F4" s="3"/>
      <c r="G4" s="3"/>
      <c r="H4" s="3"/>
      <c r="I4" s="3"/>
      <c r="J4" s="3"/>
      <c r="K4" s="3"/>
      <c r="L4" s="3"/>
      <c r="M4" s="3"/>
      <c r="N4"/>
    </row>
    <row r="5" spans="2:14" ht="14.4" customHeight="1" x14ac:dyDescent="0.3">
      <c r="B5"/>
      <c r="C5" s="53" t="s">
        <v>1</v>
      </c>
      <c r="D5" s="53"/>
      <c r="E5" s="53"/>
      <c r="F5" s="53"/>
      <c r="G5" s="53"/>
      <c r="H5" s="53"/>
      <c r="I5" s="53"/>
      <c r="J5" s="53"/>
      <c r="K5" s="53"/>
      <c r="L5" s="53"/>
      <c r="M5" s="53"/>
      <c r="N5"/>
    </row>
    <row r="6" spans="2:14" ht="3.6" customHeight="1" x14ac:dyDescent="0.3">
      <c r="B6"/>
      <c r="C6" s="3"/>
      <c r="D6" s="3"/>
      <c r="E6" s="3"/>
      <c r="F6" s="3"/>
      <c r="G6" s="3"/>
      <c r="H6" s="3"/>
      <c r="I6" s="3"/>
      <c r="J6" s="3"/>
      <c r="K6" s="3"/>
      <c r="L6" s="3"/>
      <c r="M6" s="3"/>
      <c r="N6"/>
    </row>
    <row r="7" spans="2:14" ht="4.8" customHeight="1" thickBot="1" x14ac:dyDescent="0.35">
      <c r="B7" s="5"/>
      <c r="C7" s="6"/>
      <c r="D7" s="6"/>
      <c r="E7" s="6"/>
      <c r="F7" s="6"/>
      <c r="G7" s="6"/>
      <c r="H7" s="6"/>
      <c r="I7" s="6"/>
      <c r="J7" s="6"/>
      <c r="K7" s="6"/>
      <c r="L7" s="6"/>
      <c r="M7" s="6"/>
      <c r="N7" s="5"/>
    </row>
    <row r="8" spans="2:14" ht="15" thickBot="1" x14ac:dyDescent="0.35">
      <c r="B8"/>
      <c r="C8" s="51" t="s">
        <v>2</v>
      </c>
      <c r="D8" s="51"/>
      <c r="E8" s="51"/>
      <c r="F8" s="51"/>
      <c r="G8" s="51"/>
      <c r="H8" s="3"/>
      <c r="I8" s="54" t="s">
        <v>3</v>
      </c>
      <c r="J8" s="54"/>
      <c r="K8" s="54"/>
      <c r="L8" s="54"/>
      <c r="M8" s="54"/>
      <c r="N8"/>
    </row>
    <row r="9" spans="2:14" ht="10.199999999999999" customHeight="1" x14ac:dyDescent="0.3">
      <c r="B9"/>
      <c r="C9" s="3"/>
      <c r="D9" s="3"/>
      <c r="E9" s="7"/>
      <c r="F9" s="3"/>
      <c r="G9" s="3"/>
      <c r="H9" s="3"/>
      <c r="I9" s="3"/>
      <c r="J9" s="3"/>
      <c r="K9" s="3"/>
      <c r="L9" s="3"/>
      <c r="M9" s="3"/>
      <c r="N9"/>
    </row>
    <row r="10" spans="2:14" ht="19.5" customHeight="1" x14ac:dyDescent="0.3">
      <c r="B10"/>
      <c r="C10" s="8" t="s">
        <v>4</v>
      </c>
      <c r="D10" s="8"/>
      <c r="E10" s="9"/>
      <c r="F10" s="9"/>
      <c r="G10" s="10" t="s">
        <v>5</v>
      </c>
      <c r="H10" s="3"/>
      <c r="I10" s="11" t="s">
        <v>6</v>
      </c>
      <c r="J10" s="11"/>
      <c r="K10" s="11"/>
      <c r="L10" s="11"/>
      <c r="M10" s="12">
        <v>5.4800000000000001E-2</v>
      </c>
      <c r="N10"/>
    </row>
    <row r="11" spans="2:14" ht="19.5" customHeight="1" x14ac:dyDescent="0.3">
      <c r="B11"/>
      <c r="C11" s="8" t="s">
        <v>7</v>
      </c>
      <c r="D11" s="8"/>
      <c r="E11" s="9"/>
      <c r="F11" s="9"/>
      <c r="G11" s="13">
        <v>7845.63</v>
      </c>
      <c r="H11" s="3"/>
      <c r="I11" s="14" t="s">
        <v>8</v>
      </c>
      <c r="J11" s="14"/>
      <c r="K11" s="14"/>
      <c r="L11" s="14"/>
      <c r="M11" s="15">
        <v>4.99E-2</v>
      </c>
      <c r="N11"/>
    </row>
    <row r="12" spans="2:14" ht="19.5" customHeight="1" x14ac:dyDescent="0.3">
      <c r="B12"/>
      <c r="C12" s="8" t="s">
        <v>9</v>
      </c>
      <c r="D12" s="8"/>
      <c r="E12" s="9"/>
      <c r="F12" s="9"/>
      <c r="G12" s="10" t="s">
        <v>10</v>
      </c>
      <c r="H12" s="3"/>
      <c r="I12" s="11" t="s">
        <v>11</v>
      </c>
      <c r="J12" s="11"/>
      <c r="K12" s="11"/>
      <c r="L12" s="11"/>
      <c r="M12" s="12">
        <v>4.48E-2</v>
      </c>
      <c r="N12"/>
    </row>
    <row r="13" spans="2:14" ht="19.5" customHeight="1" x14ac:dyDescent="0.3">
      <c r="B13"/>
      <c r="C13" s="8" t="s">
        <v>12</v>
      </c>
      <c r="D13" s="8"/>
      <c r="E13" s="9"/>
      <c r="F13" s="9"/>
      <c r="G13" s="10" t="s">
        <v>13</v>
      </c>
      <c r="H13" s="3"/>
      <c r="I13" s="14" t="s">
        <v>14</v>
      </c>
      <c r="J13" s="14"/>
      <c r="K13" s="14"/>
      <c r="L13" s="14"/>
      <c r="M13" s="15">
        <v>3.7699999999999997E-2</v>
      </c>
      <c r="N13"/>
    </row>
    <row r="14" spans="2:14" ht="19.5" customHeight="1" x14ac:dyDescent="0.3">
      <c r="B14"/>
      <c r="C14" s="8" t="s">
        <v>15</v>
      </c>
      <c r="D14" s="8"/>
      <c r="E14" s="9"/>
      <c r="F14" s="9"/>
      <c r="G14" s="10" t="s">
        <v>16</v>
      </c>
      <c r="H14" s="3"/>
      <c r="I14" s="11" t="s">
        <v>17</v>
      </c>
      <c r="J14" s="11"/>
      <c r="K14" s="11"/>
      <c r="L14" s="11"/>
      <c r="M14" s="12">
        <v>3.6600000000000001E-2</v>
      </c>
      <c r="N14"/>
    </row>
    <row r="15" spans="2:14" ht="19.5" customHeight="1" x14ac:dyDescent="0.3">
      <c r="B15"/>
      <c r="C15" s="8" t="s">
        <v>18</v>
      </c>
      <c r="D15" s="8"/>
      <c r="E15" s="16"/>
      <c r="F15" s="16"/>
      <c r="G15" s="10" t="s">
        <v>19</v>
      </c>
      <c r="H15" s="3"/>
      <c r="I15" s="14" t="s">
        <v>20</v>
      </c>
      <c r="J15" s="14"/>
      <c r="K15" s="14"/>
      <c r="L15" s="14"/>
      <c r="M15" s="15">
        <v>3.2800000000000003E-2</v>
      </c>
      <c r="N15"/>
    </row>
    <row r="16" spans="2:14" ht="19.5" customHeight="1" x14ac:dyDescent="0.3">
      <c r="B16"/>
      <c r="C16" s="8" t="s">
        <v>21</v>
      </c>
      <c r="D16" s="8"/>
      <c r="E16" s="9"/>
      <c r="F16" s="9"/>
      <c r="G16" s="17">
        <v>8.8999999999999999E-3</v>
      </c>
      <c r="H16" s="3"/>
      <c r="I16" s="11" t="s">
        <v>22</v>
      </c>
      <c r="J16" s="11"/>
      <c r="K16" s="11"/>
      <c r="L16" s="11"/>
      <c r="M16" s="12">
        <v>3.2099999999999997E-2</v>
      </c>
      <c r="N16"/>
    </row>
    <row r="17" spans="2:14" ht="19.5" customHeight="1" x14ac:dyDescent="0.3">
      <c r="B17"/>
      <c r="C17" s="8" t="s">
        <v>23</v>
      </c>
      <c r="D17" s="8"/>
      <c r="E17" s="9"/>
      <c r="F17" s="9"/>
      <c r="G17" s="10" t="s">
        <v>24</v>
      </c>
      <c r="H17" s="3"/>
      <c r="I17" s="14" t="s">
        <v>25</v>
      </c>
      <c r="J17" s="14"/>
      <c r="K17" s="14"/>
      <c r="L17" s="14"/>
      <c r="M17" s="15">
        <v>3.15E-2</v>
      </c>
      <c r="N17"/>
    </row>
    <row r="18" spans="2:14" ht="19.5" customHeight="1" x14ac:dyDescent="0.3">
      <c r="B18"/>
      <c r="C18" s="8" t="s">
        <v>26</v>
      </c>
      <c r="D18" s="8"/>
      <c r="E18" s="9"/>
      <c r="F18" s="9"/>
      <c r="G18" s="17">
        <v>0.2</v>
      </c>
      <c r="H18" s="3"/>
      <c r="I18" s="11" t="s">
        <v>27</v>
      </c>
      <c r="J18" s="11"/>
      <c r="K18" s="11"/>
      <c r="L18" s="11"/>
      <c r="M18" s="12">
        <v>3.0200000000000001E-2</v>
      </c>
      <c r="N18"/>
    </row>
    <row r="19" spans="2:14" ht="19.5" customHeight="1" x14ac:dyDescent="0.3">
      <c r="B19"/>
      <c r="C19" s="8" t="s">
        <v>28</v>
      </c>
      <c r="D19" s="8"/>
      <c r="E19" s="9"/>
      <c r="F19" s="9"/>
      <c r="G19" s="10" t="s">
        <v>29</v>
      </c>
      <c r="H19" s="3"/>
      <c r="I19" s="14" t="s">
        <v>30</v>
      </c>
      <c r="J19" s="14"/>
      <c r="K19" s="14"/>
      <c r="L19" s="14"/>
      <c r="M19" s="15">
        <v>2.92E-2</v>
      </c>
      <c r="N19"/>
    </row>
    <row r="20" spans="2:14" ht="19.95" customHeight="1" thickBot="1" x14ac:dyDescent="0.35">
      <c r="B20"/>
      <c r="C20" s="3"/>
      <c r="D20" s="3"/>
      <c r="E20" s="3"/>
      <c r="F20" s="3"/>
      <c r="G20" s="18"/>
      <c r="H20" s="3"/>
      <c r="I20" s="3"/>
      <c r="J20" s="3"/>
      <c r="K20" s="3"/>
      <c r="L20" s="3"/>
      <c r="M20" s="3"/>
      <c r="N20"/>
    </row>
    <row r="21" spans="2:14" ht="15" thickBot="1" x14ac:dyDescent="0.35">
      <c r="B21"/>
      <c r="C21" s="51" t="s">
        <v>31</v>
      </c>
      <c r="D21" s="51"/>
      <c r="E21" s="51"/>
      <c r="F21" s="51"/>
      <c r="G21" s="51"/>
      <c r="H21" s="3"/>
      <c r="I21" s="51" t="s">
        <v>32</v>
      </c>
      <c r="J21" s="51"/>
      <c r="K21" s="51"/>
      <c r="L21" s="51"/>
      <c r="M21" s="51"/>
      <c r="N21"/>
    </row>
    <row r="22" spans="2:14" x14ac:dyDescent="0.3">
      <c r="B22"/>
      <c r="C22" s="4"/>
      <c r="D22" s="4"/>
      <c r="E22" s="4"/>
      <c r="F22" s="4"/>
      <c r="G22" s="4"/>
      <c r="H22" s="3"/>
      <c r="I22" s="3"/>
      <c r="J22" s="3"/>
      <c r="K22" s="3"/>
      <c r="L22" s="3"/>
      <c r="M22" s="3"/>
      <c r="N22"/>
    </row>
    <row r="23" spans="2:14" x14ac:dyDescent="0.3">
      <c r="B23"/>
      <c r="C23" s="50" t="s">
        <v>33</v>
      </c>
      <c r="D23" s="50"/>
      <c r="E23" s="50"/>
      <c r="F23" s="50"/>
      <c r="G23" s="50"/>
      <c r="H23" s="3"/>
      <c r="I23" s="3"/>
      <c r="J23" s="3"/>
      <c r="K23" s="3"/>
      <c r="L23" s="3"/>
      <c r="M23" s="3"/>
      <c r="N23"/>
    </row>
    <row r="24" spans="2:14" x14ac:dyDescent="0.3">
      <c r="B24"/>
      <c r="C24" s="50"/>
      <c r="D24" s="50"/>
      <c r="E24" s="50"/>
      <c r="F24" s="50"/>
      <c r="G24" s="50"/>
      <c r="H24" s="3"/>
      <c r="I24" s="3"/>
      <c r="J24" s="3"/>
      <c r="K24" s="3"/>
      <c r="L24" s="3"/>
      <c r="M24" s="3"/>
      <c r="N24"/>
    </row>
    <row r="25" spans="2:14" x14ac:dyDescent="0.3">
      <c r="B25"/>
      <c r="C25" s="50"/>
      <c r="D25" s="50"/>
      <c r="E25" s="50"/>
      <c r="F25" s="50"/>
      <c r="G25" s="50"/>
      <c r="H25" s="3"/>
      <c r="I25" s="3"/>
      <c r="J25" s="3"/>
      <c r="K25" s="3"/>
      <c r="L25" s="3"/>
      <c r="M25" s="3"/>
      <c r="N25"/>
    </row>
    <row r="26" spans="2:14" x14ac:dyDescent="0.3">
      <c r="B26"/>
      <c r="C26" s="50"/>
      <c r="D26" s="50"/>
      <c r="E26" s="50"/>
      <c r="F26" s="50"/>
      <c r="G26" s="50"/>
      <c r="H26" s="3"/>
      <c r="I26" s="3"/>
      <c r="J26" s="3"/>
      <c r="K26" s="3"/>
      <c r="L26" s="3"/>
      <c r="M26" s="3"/>
      <c r="N26"/>
    </row>
    <row r="27" spans="2:14" x14ac:dyDescent="0.3">
      <c r="B27"/>
      <c r="C27" s="50"/>
      <c r="D27" s="50"/>
      <c r="E27" s="50"/>
      <c r="F27" s="50"/>
      <c r="G27" s="50"/>
      <c r="H27" s="3"/>
      <c r="I27" s="3"/>
      <c r="J27" s="3"/>
      <c r="K27" s="3"/>
      <c r="L27" s="3"/>
      <c r="M27" s="3"/>
      <c r="N27"/>
    </row>
    <row r="28" spans="2:14" x14ac:dyDescent="0.3">
      <c r="B28"/>
      <c r="C28" s="50"/>
      <c r="D28" s="50"/>
      <c r="E28" s="50"/>
      <c r="F28" s="50"/>
      <c r="G28" s="50"/>
      <c r="H28" s="3"/>
      <c r="I28" s="3"/>
      <c r="J28" s="3"/>
      <c r="K28" s="3"/>
      <c r="L28" s="3"/>
      <c r="M28" s="3"/>
      <c r="N28"/>
    </row>
    <row r="29" spans="2:14" ht="25.05" customHeight="1" thickBot="1" x14ac:dyDescent="0.35">
      <c r="B29"/>
      <c r="C29" s="3"/>
      <c r="D29" s="3"/>
      <c r="E29" s="3"/>
      <c r="F29" s="3"/>
      <c r="G29" s="3"/>
      <c r="H29" s="3"/>
      <c r="I29" s="3"/>
      <c r="J29" s="3"/>
      <c r="K29" s="3"/>
      <c r="L29" s="3"/>
      <c r="M29" s="3"/>
      <c r="N29"/>
    </row>
    <row r="30" spans="2:14" ht="15" thickBot="1" x14ac:dyDescent="0.35">
      <c r="B30"/>
      <c r="C30" s="51" t="s">
        <v>34</v>
      </c>
      <c r="D30" s="51"/>
      <c r="E30" s="51"/>
      <c r="F30" s="51"/>
      <c r="G30" s="51"/>
      <c r="H30" s="3"/>
      <c r="I30" s="51" t="s">
        <v>35</v>
      </c>
      <c r="J30" s="51"/>
      <c r="K30" s="51"/>
      <c r="L30" s="51"/>
      <c r="M30" s="51"/>
      <c r="N30"/>
    </row>
    <row r="31" spans="2:14" x14ac:dyDescent="0.3">
      <c r="B31"/>
      <c r="C31" s="3"/>
      <c r="D31" s="3"/>
      <c r="E31" s="3"/>
      <c r="F31" s="3"/>
      <c r="G31" s="3"/>
      <c r="H31" s="3"/>
      <c r="I31" s="3"/>
      <c r="J31" s="3"/>
      <c r="K31" s="3"/>
      <c r="L31" s="3"/>
      <c r="M31" s="3"/>
      <c r="N31"/>
    </row>
    <row r="32" spans="2:14" x14ac:dyDescent="0.3">
      <c r="B32"/>
      <c r="C32" s="3"/>
      <c r="D32" s="3"/>
      <c r="E32" s="3"/>
      <c r="F32" s="3"/>
      <c r="G32" s="3"/>
      <c r="H32" s="3"/>
      <c r="I32" s="3"/>
      <c r="J32" s="3"/>
      <c r="K32" s="3"/>
      <c r="L32" s="3"/>
      <c r="M32" s="3"/>
      <c r="N32"/>
    </row>
    <row r="33" spans="2:14" x14ac:dyDescent="0.3">
      <c r="B33"/>
      <c r="C33" s="3"/>
      <c r="D33" s="3"/>
      <c r="E33" s="3"/>
      <c r="F33" s="3"/>
      <c r="G33" s="3"/>
      <c r="H33" s="3"/>
      <c r="I33" s="3"/>
      <c r="J33" s="3"/>
      <c r="K33" s="3"/>
      <c r="L33" s="3"/>
      <c r="M33" s="3"/>
      <c r="N33"/>
    </row>
    <row r="34" spans="2:14" x14ac:dyDescent="0.3">
      <c r="B34"/>
      <c r="C34" s="3"/>
      <c r="D34" s="3"/>
      <c r="E34" s="3"/>
      <c r="F34" s="3"/>
      <c r="G34" s="3"/>
      <c r="H34" s="3"/>
      <c r="I34" s="3"/>
      <c r="J34" s="3"/>
      <c r="K34" s="3"/>
      <c r="L34" s="3"/>
      <c r="M34" s="3"/>
      <c r="N34"/>
    </row>
    <row r="35" spans="2:14" x14ac:dyDescent="0.3">
      <c r="B35"/>
      <c r="C35" s="3"/>
      <c r="D35" s="3"/>
      <c r="E35" s="3"/>
      <c r="F35" s="3"/>
      <c r="G35" s="3"/>
      <c r="H35" s="3"/>
      <c r="I35" s="3"/>
      <c r="J35" s="3"/>
      <c r="K35" s="3"/>
      <c r="L35" s="3"/>
      <c r="M35" s="3"/>
      <c r="N35"/>
    </row>
    <row r="36" spans="2:14" x14ac:dyDescent="0.3">
      <c r="B36"/>
      <c r="C36" s="3"/>
      <c r="D36" s="3"/>
      <c r="E36" s="3"/>
      <c r="F36" s="3"/>
      <c r="G36" s="3"/>
      <c r="H36" s="3"/>
      <c r="I36" s="3"/>
      <c r="J36" s="3"/>
      <c r="K36" s="3"/>
      <c r="L36" s="3"/>
      <c r="M36" s="3"/>
      <c r="N36"/>
    </row>
    <row r="37" spans="2:14" x14ac:dyDescent="0.3">
      <c r="B37"/>
      <c r="C37" s="3"/>
      <c r="D37" s="3"/>
      <c r="E37" s="3"/>
      <c r="F37" s="3"/>
      <c r="G37" s="3"/>
      <c r="H37" s="3"/>
      <c r="I37" s="3"/>
      <c r="J37" s="3"/>
      <c r="K37" s="3"/>
      <c r="L37" s="3"/>
      <c r="M37" s="3"/>
      <c r="N37"/>
    </row>
    <row r="38" spans="2:14" x14ac:dyDescent="0.3">
      <c r="B38"/>
      <c r="C38" s="3"/>
      <c r="D38" s="3"/>
      <c r="E38" s="3"/>
      <c r="F38" s="3"/>
      <c r="G38" s="3"/>
      <c r="H38" s="3"/>
      <c r="I38" s="3"/>
      <c r="J38" s="3"/>
      <c r="K38" s="3"/>
      <c r="L38" s="3"/>
      <c r="M38" s="3"/>
      <c r="N38"/>
    </row>
    <row r="39" spans="2:14" ht="25.05" customHeight="1" thickBot="1" x14ac:dyDescent="0.35">
      <c r="B39"/>
      <c r="C39" s="3"/>
      <c r="D39" s="3"/>
      <c r="E39" s="3"/>
      <c r="F39" s="3"/>
      <c r="G39" s="3"/>
      <c r="H39" s="3"/>
      <c r="I39" s="3"/>
      <c r="J39" s="3"/>
      <c r="K39" s="3"/>
      <c r="L39" s="3"/>
      <c r="M39" s="3"/>
      <c r="N39"/>
    </row>
    <row r="40" spans="2:14" ht="15" thickBot="1" x14ac:dyDescent="0.35">
      <c r="B40"/>
      <c r="C40" s="49" t="s">
        <v>36</v>
      </c>
      <c r="D40" s="49"/>
      <c r="E40" s="49"/>
      <c r="F40" s="49"/>
      <c r="G40" s="49"/>
      <c r="H40" s="49"/>
      <c r="I40" s="49"/>
      <c r="J40" s="49"/>
      <c r="K40" s="49"/>
      <c r="L40" s="49"/>
      <c r="M40" s="49"/>
      <c r="N40"/>
    </row>
    <row r="41" spans="2:14" ht="2.4" customHeight="1" x14ac:dyDescent="0.3">
      <c r="B41"/>
      <c r="C41" s="3"/>
      <c r="D41" s="3"/>
      <c r="E41" s="3"/>
      <c r="F41" s="3"/>
      <c r="G41" s="3"/>
      <c r="H41" s="3"/>
      <c r="I41" s="3"/>
      <c r="J41" s="3"/>
      <c r="K41" s="3"/>
      <c r="L41" s="3"/>
      <c r="M41" s="3"/>
      <c r="N41"/>
    </row>
    <row r="42" spans="2:14" ht="13.2" customHeight="1" x14ac:dyDescent="0.3">
      <c r="B42"/>
      <c r="C42" s="50" t="s">
        <v>37</v>
      </c>
      <c r="D42" s="50"/>
      <c r="E42" s="50"/>
      <c r="F42" s="50"/>
      <c r="G42" s="50"/>
      <c r="H42" s="50"/>
      <c r="I42" s="50"/>
      <c r="J42" s="50"/>
      <c r="K42" s="50"/>
      <c r="L42" s="50"/>
      <c r="M42" s="50"/>
      <c r="N42"/>
    </row>
    <row r="43" spans="2:14" x14ac:dyDescent="0.3">
      <c r="B43"/>
      <c r="C43" s="50"/>
      <c r="D43" s="50"/>
      <c r="E43" s="50"/>
      <c r="F43" s="50"/>
      <c r="G43" s="50"/>
      <c r="H43" s="50"/>
      <c r="I43" s="50"/>
      <c r="J43" s="50"/>
      <c r="K43" s="50"/>
      <c r="L43" s="50"/>
      <c r="M43" s="50"/>
      <c r="N43"/>
    </row>
    <row r="44" spans="2:14" x14ac:dyDescent="0.3">
      <c r="B44"/>
      <c r="C44" s="50"/>
      <c r="D44" s="50"/>
      <c r="E44" s="50"/>
      <c r="F44" s="50"/>
      <c r="G44" s="50"/>
      <c r="H44" s="50"/>
      <c r="I44" s="50"/>
      <c r="J44" s="50"/>
      <c r="K44" s="50"/>
      <c r="L44" s="50"/>
      <c r="M44" s="50"/>
      <c r="N44"/>
    </row>
    <row r="45" spans="2:14" ht="24" customHeight="1" x14ac:dyDescent="0.3">
      <c r="B45"/>
      <c r="C45" s="50"/>
      <c r="D45" s="50"/>
      <c r="E45" s="50"/>
      <c r="F45" s="50"/>
      <c r="G45" s="50"/>
      <c r="H45" s="50"/>
      <c r="I45" s="50"/>
      <c r="J45" s="50"/>
      <c r="K45" s="50"/>
      <c r="L45" s="50"/>
      <c r="M45" s="50"/>
      <c r="N45"/>
    </row>
    <row r="46" spans="2:14" ht="8.4" customHeight="1" x14ac:dyDescent="0.3">
      <c r="B46"/>
      <c r="C46" s="19"/>
      <c r="D46" s="19"/>
      <c r="E46" s="19"/>
      <c r="F46" s="19"/>
      <c r="G46" s="19"/>
      <c r="H46" s="19"/>
      <c r="I46" s="19"/>
      <c r="J46" s="19"/>
      <c r="K46" s="19"/>
      <c r="L46" s="19"/>
      <c r="M46" s="19"/>
      <c r="N46"/>
    </row>
    <row r="47" spans="2:14" ht="6" customHeight="1" x14ac:dyDescent="0.45">
      <c r="B47"/>
      <c r="C47" s="48"/>
      <c r="D47" s="48"/>
      <c r="E47" s="48"/>
      <c r="F47" s="48"/>
      <c r="G47" s="48"/>
      <c r="H47" s="48"/>
      <c r="I47" s="48"/>
      <c r="J47" s="48"/>
      <c r="K47" s="48"/>
      <c r="L47" s="48"/>
      <c r="M47" s="48"/>
      <c r="N47"/>
    </row>
    <row r="48" spans="2:14" ht="14.4" customHeight="1" x14ac:dyDescent="0.45">
      <c r="B48"/>
      <c r="C48" s="20" t="s">
        <v>38</v>
      </c>
      <c r="D48" s="21"/>
      <c r="E48" s="21"/>
      <c r="F48" s="21"/>
      <c r="G48" s="21"/>
      <c r="H48" s="21"/>
      <c r="I48" s="21"/>
      <c r="J48" s="21"/>
      <c r="K48" s="21"/>
      <c r="L48" s="21"/>
      <c r="M48" s="21"/>
      <c r="N48"/>
    </row>
    <row r="49" spans="2:14" ht="13.2" customHeight="1" thickBot="1" x14ac:dyDescent="0.5">
      <c r="B49"/>
      <c r="C49" s="3"/>
      <c r="D49" s="21"/>
      <c r="E49" s="21"/>
      <c r="F49" s="21"/>
      <c r="G49" s="21"/>
      <c r="H49" s="21"/>
      <c r="I49" s="21"/>
      <c r="J49" s="21"/>
      <c r="K49" s="21"/>
      <c r="L49" s="21"/>
      <c r="M49" s="21"/>
      <c r="N49"/>
    </row>
    <row r="50" spans="2:14" ht="15" thickBot="1" x14ac:dyDescent="0.35">
      <c r="B50"/>
      <c r="C50" s="49" t="s">
        <v>39</v>
      </c>
      <c r="D50" s="49"/>
      <c r="E50" s="49"/>
      <c r="F50" s="49"/>
      <c r="G50" s="49"/>
      <c r="H50" s="49"/>
      <c r="I50" s="49"/>
      <c r="J50" s="49"/>
      <c r="K50" s="49"/>
      <c r="L50" s="49"/>
      <c r="M50" s="49"/>
      <c r="N50"/>
    </row>
    <row r="51" spans="2:14" x14ac:dyDescent="0.3">
      <c r="B51"/>
      <c r="C51" s="3"/>
      <c r="D51" s="3"/>
      <c r="E51" s="3"/>
      <c r="F51" s="3"/>
      <c r="G51" s="3"/>
      <c r="H51" s="3"/>
      <c r="I51" s="3"/>
      <c r="J51" s="3"/>
      <c r="K51" s="3"/>
      <c r="L51" s="3"/>
      <c r="M51" s="3"/>
      <c r="N51"/>
    </row>
    <row r="52" spans="2:14" x14ac:dyDescent="0.3">
      <c r="B52"/>
      <c r="C52" s="22" t="s">
        <v>40</v>
      </c>
      <c r="D52" s="22"/>
      <c r="E52" s="22"/>
      <c r="F52" s="22"/>
      <c r="G52" s="23"/>
      <c r="H52" s="23"/>
      <c r="I52" s="23"/>
      <c r="J52" s="24" t="s">
        <v>41</v>
      </c>
      <c r="K52" s="24" t="s">
        <v>42</v>
      </c>
      <c r="L52" s="24" t="s">
        <v>43</v>
      </c>
      <c r="M52" s="24" t="s">
        <v>44</v>
      </c>
      <c r="N52"/>
    </row>
    <row r="53" spans="2:14" x14ac:dyDescent="0.3">
      <c r="B53"/>
      <c r="C53" s="25"/>
      <c r="D53" s="25"/>
      <c r="E53" s="25"/>
      <c r="F53" s="25"/>
      <c r="G53" s="25"/>
      <c r="H53" s="25"/>
      <c r="I53" s="25"/>
      <c r="J53" s="25"/>
      <c r="K53" s="25"/>
      <c r="L53" s="25"/>
      <c r="M53" s="25"/>
      <c r="N53"/>
    </row>
    <row r="54" spans="2:14" x14ac:dyDescent="0.3">
      <c r="B54"/>
      <c r="C54" s="23" t="s">
        <v>45</v>
      </c>
      <c r="D54" s="25"/>
      <c r="E54" s="25"/>
      <c r="F54" s="25"/>
      <c r="G54" s="25"/>
      <c r="H54" s="25"/>
      <c r="I54" s="25"/>
      <c r="J54" s="25"/>
      <c r="K54" s="25"/>
      <c r="L54" s="25"/>
      <c r="M54" s="25"/>
      <c r="N54"/>
    </row>
    <row r="55" spans="2:14" x14ac:dyDescent="0.3">
      <c r="B55"/>
      <c r="C55" s="26" t="s">
        <v>46</v>
      </c>
      <c r="D55" s="27"/>
      <c r="E55" s="27"/>
      <c r="F55" s="27"/>
      <c r="G55" s="3"/>
      <c r="H55" s="3"/>
      <c r="I55" s="3"/>
      <c r="J55" s="28">
        <v>0.1143</v>
      </c>
      <c r="K55" s="28">
        <v>0.23669999999999999</v>
      </c>
      <c r="L55" s="28">
        <v>0.18090000000000001</v>
      </c>
      <c r="M55" s="28">
        <v>0.2109</v>
      </c>
      <c r="N55"/>
    </row>
    <row r="56" spans="2:14" x14ac:dyDescent="0.3">
      <c r="B56"/>
      <c r="C56" s="26" t="s">
        <v>19</v>
      </c>
      <c r="D56" s="27"/>
      <c r="E56" s="27"/>
      <c r="F56" s="27"/>
      <c r="G56" s="3"/>
      <c r="H56" s="3"/>
      <c r="I56" s="3"/>
      <c r="J56" s="28">
        <v>4.2700000000000002E-2</v>
      </c>
      <c r="K56" s="28">
        <v>0.1908</v>
      </c>
      <c r="L56" s="28">
        <v>0.16869999999999999</v>
      </c>
      <c r="M56" s="28">
        <v>0.21740000000000001</v>
      </c>
      <c r="N56"/>
    </row>
    <row r="57" spans="2:14" x14ac:dyDescent="0.3">
      <c r="B57"/>
      <c r="C57" s="26" t="s">
        <v>47</v>
      </c>
      <c r="D57" s="27"/>
      <c r="E57" s="27"/>
      <c r="F57" s="27"/>
      <c r="G57" s="3"/>
      <c r="H57" s="3"/>
      <c r="I57" s="3"/>
      <c r="J57" s="28">
        <v>-2.1399999999999999E-2</v>
      </c>
      <c r="K57" s="28">
        <v>8.3099999999999993E-2</v>
      </c>
      <c r="L57" s="28">
        <v>9.8199999999999996E-2</v>
      </c>
      <c r="M57" s="28">
        <v>0.1196</v>
      </c>
      <c r="N57"/>
    </row>
    <row r="58" spans="2:14" x14ac:dyDescent="0.3">
      <c r="B58"/>
      <c r="C58" s="29"/>
      <c r="D58" s="3"/>
      <c r="E58" s="3"/>
      <c r="F58" s="3"/>
      <c r="G58" s="3"/>
      <c r="H58" s="3"/>
      <c r="I58" s="3"/>
      <c r="J58" s="4"/>
      <c r="K58" s="4"/>
      <c r="L58" s="4"/>
      <c r="M58" s="4"/>
      <c r="N58"/>
    </row>
    <row r="59" spans="2:14" x14ac:dyDescent="0.3">
      <c r="B59"/>
      <c r="C59" s="23" t="s">
        <v>48</v>
      </c>
      <c r="D59" s="3"/>
      <c r="E59" s="3"/>
      <c r="F59" s="3"/>
      <c r="G59" s="3"/>
      <c r="H59" s="3"/>
      <c r="I59" s="3"/>
      <c r="J59" s="4"/>
      <c r="K59" s="4"/>
      <c r="L59" s="4"/>
      <c r="M59" s="4"/>
      <c r="N59"/>
    </row>
    <row r="60" spans="2:14" x14ac:dyDescent="0.3">
      <c r="B60"/>
      <c r="C60" s="26" t="s">
        <v>46</v>
      </c>
      <c r="D60" s="27"/>
      <c r="E60" s="27"/>
      <c r="F60" s="27"/>
      <c r="G60" s="3"/>
      <c r="H60" s="3"/>
      <c r="I60" s="3"/>
      <c r="J60" s="30">
        <v>111430</v>
      </c>
      <c r="K60" s="30">
        <v>189144.22348629998</v>
      </c>
      <c r="L60" s="30">
        <v>229649.5575433668</v>
      </c>
      <c r="M60" s="30">
        <v>381731.46088993683</v>
      </c>
      <c r="N60"/>
    </row>
    <row r="61" spans="2:14" x14ac:dyDescent="0.3">
      <c r="B61"/>
      <c r="C61" s="26" t="s">
        <v>19</v>
      </c>
      <c r="D61" s="27"/>
      <c r="E61" s="27"/>
      <c r="F61" s="27"/>
      <c r="G61" s="3"/>
      <c r="H61" s="3"/>
      <c r="I61" s="3"/>
      <c r="J61" s="30">
        <v>104270</v>
      </c>
      <c r="K61" s="30">
        <v>168855.99253120003</v>
      </c>
      <c r="L61" s="30">
        <v>218029.48060366721</v>
      </c>
      <c r="M61" s="30">
        <v>396308.22146174125</v>
      </c>
      <c r="N61"/>
    </row>
    <row r="62" spans="2:14" x14ac:dyDescent="0.3">
      <c r="B62"/>
      <c r="C62" s="26" t="s">
        <v>47</v>
      </c>
      <c r="D62" s="27"/>
      <c r="E62" s="27"/>
      <c r="F62" s="27"/>
      <c r="G62" s="3"/>
      <c r="H62" s="3"/>
      <c r="I62" s="3"/>
      <c r="J62" s="30">
        <v>97860</v>
      </c>
      <c r="K62" s="30">
        <v>127059.06861909998</v>
      </c>
      <c r="L62" s="30">
        <v>159737.61538905182</v>
      </c>
      <c r="M62" s="30">
        <v>220516.06218321947</v>
      </c>
      <c r="N62"/>
    </row>
    <row r="63" spans="2:14" x14ac:dyDescent="0.3">
      <c r="B63"/>
      <c r="C63" s="3"/>
      <c r="D63" s="3"/>
      <c r="E63" s="3"/>
      <c r="F63" s="3"/>
      <c r="G63" s="3"/>
      <c r="H63" s="3"/>
      <c r="I63" s="3"/>
      <c r="J63" s="4"/>
      <c r="K63" s="4"/>
      <c r="L63" s="4"/>
      <c r="M63" s="4"/>
      <c r="N63"/>
    </row>
    <row r="64" spans="2:14" x14ac:dyDescent="0.3">
      <c r="B64"/>
      <c r="C64" s="23" t="s">
        <v>49</v>
      </c>
      <c r="D64" s="3"/>
      <c r="E64" s="3"/>
      <c r="F64" s="3"/>
      <c r="G64" s="3"/>
      <c r="H64" s="3"/>
      <c r="I64" s="3"/>
      <c r="J64" s="4"/>
      <c r="K64" s="4"/>
      <c r="L64" s="4"/>
      <c r="M64" s="4"/>
      <c r="N64"/>
    </row>
    <row r="65" spans="2:14" x14ac:dyDescent="0.3">
      <c r="B65"/>
      <c r="C65" s="26" t="s">
        <v>46</v>
      </c>
      <c r="D65" s="27"/>
      <c r="E65" s="27"/>
      <c r="F65" s="27"/>
      <c r="G65" s="29"/>
      <c r="H65" s="29"/>
      <c r="I65" s="29"/>
      <c r="J65" s="28">
        <v>0.18920000000000001</v>
      </c>
      <c r="K65" s="28">
        <v>0.18390000000000001</v>
      </c>
      <c r="L65" s="28">
        <v>0.20300000000000001</v>
      </c>
      <c r="M65" s="28">
        <v>0.22950000000000001</v>
      </c>
      <c r="N65"/>
    </row>
    <row r="66" spans="2:14" x14ac:dyDescent="0.3">
      <c r="B66"/>
      <c r="C66" s="26" t="s">
        <v>19</v>
      </c>
      <c r="D66" s="27"/>
      <c r="E66" s="27"/>
      <c r="F66" s="27"/>
      <c r="G66" s="29"/>
      <c r="H66" s="29"/>
      <c r="I66" s="29"/>
      <c r="J66" s="28">
        <v>0.1086</v>
      </c>
      <c r="K66" s="28">
        <v>0.12</v>
      </c>
      <c r="L66" s="28">
        <v>0.1719</v>
      </c>
      <c r="M66" s="28">
        <v>0.21199999999999999</v>
      </c>
      <c r="N66"/>
    </row>
    <row r="67" spans="2:14" x14ac:dyDescent="0.3">
      <c r="B67"/>
      <c r="C67" s="26" t="s">
        <v>47</v>
      </c>
      <c r="D67" s="27"/>
      <c r="E67" s="27"/>
      <c r="F67" s="27"/>
      <c r="G67" s="29"/>
      <c r="H67" s="29"/>
      <c r="I67" s="29"/>
      <c r="J67" s="28">
        <v>-5.79E-2</v>
      </c>
      <c r="K67" s="28">
        <v>3.1300000000000001E-2</v>
      </c>
      <c r="L67" s="28">
        <v>7.2999999999999995E-2</v>
      </c>
      <c r="M67" s="28">
        <v>0.1081</v>
      </c>
      <c r="N67"/>
    </row>
    <row r="68" spans="2:14" x14ac:dyDescent="0.3">
      <c r="B68"/>
      <c r="C68" s="3"/>
      <c r="D68" s="3"/>
      <c r="E68" s="3"/>
      <c r="F68" s="3"/>
      <c r="G68" s="3"/>
      <c r="H68" s="3"/>
      <c r="I68" s="3"/>
      <c r="J68" s="4"/>
      <c r="K68" s="4"/>
      <c r="L68" s="4"/>
      <c r="M68" s="4"/>
      <c r="N68"/>
    </row>
    <row r="69" spans="2:14" x14ac:dyDescent="0.3">
      <c r="B69"/>
      <c r="C69" s="23" t="s">
        <v>50</v>
      </c>
      <c r="D69" s="29"/>
      <c r="E69" s="29"/>
      <c r="F69" s="29"/>
      <c r="G69" s="3"/>
      <c r="H69" s="3"/>
      <c r="I69" s="3"/>
      <c r="J69" s="4"/>
      <c r="K69" s="4"/>
      <c r="L69" s="4"/>
      <c r="M69" s="4"/>
      <c r="N69"/>
    </row>
    <row r="70" spans="2:14" x14ac:dyDescent="0.3">
      <c r="B70"/>
      <c r="C70" s="26" t="s">
        <v>46</v>
      </c>
      <c r="D70" s="27"/>
      <c r="E70" s="27"/>
      <c r="F70" s="27"/>
      <c r="G70" s="3"/>
      <c r="H70" s="3"/>
      <c r="I70" s="3"/>
      <c r="J70" s="30">
        <v>131827</v>
      </c>
      <c r="K70" s="30">
        <v>471525</v>
      </c>
      <c r="L70" s="30">
        <v>993427</v>
      </c>
      <c r="M70" s="30">
        <v>1901082.9999999998</v>
      </c>
      <c r="N70"/>
    </row>
    <row r="71" spans="2:14" x14ac:dyDescent="0.3">
      <c r="B71"/>
      <c r="C71" s="26" t="s">
        <v>19</v>
      </c>
      <c r="D71" s="27"/>
      <c r="E71" s="27"/>
      <c r="F71" s="27"/>
      <c r="G71" s="3"/>
      <c r="H71" s="3"/>
      <c r="I71" s="3"/>
      <c r="J71" s="30">
        <v>126864.37</v>
      </c>
      <c r="K71" s="30">
        <v>430498.82</v>
      </c>
      <c r="L71" s="30">
        <v>920982.42</v>
      </c>
      <c r="M71" s="30">
        <v>1710034.09</v>
      </c>
      <c r="N71"/>
    </row>
    <row r="72" spans="2:14" x14ac:dyDescent="0.3">
      <c r="B72"/>
      <c r="C72" s="26" t="s">
        <v>47</v>
      </c>
      <c r="D72" s="27"/>
      <c r="E72" s="27"/>
      <c r="F72" s="27"/>
      <c r="G72" s="3"/>
      <c r="H72" s="3"/>
      <c r="I72" s="3"/>
      <c r="J72" s="30">
        <v>116427.5</v>
      </c>
      <c r="K72" s="30">
        <v>377605.82</v>
      </c>
      <c r="L72" s="30">
        <v>721136.89</v>
      </c>
      <c r="M72" s="30">
        <v>1233786.7</v>
      </c>
      <c r="N72"/>
    </row>
    <row r="73" spans="2:14" ht="15" thickBot="1" x14ac:dyDescent="0.35">
      <c r="B73"/>
      <c r="C73" s="29"/>
      <c r="D73" s="3"/>
      <c r="E73" s="3"/>
      <c r="F73" s="3"/>
      <c r="G73" s="3"/>
      <c r="H73" s="3"/>
      <c r="I73" s="3"/>
      <c r="J73" s="31"/>
      <c r="K73" s="31"/>
      <c r="L73" s="31"/>
      <c r="M73" s="31"/>
      <c r="N73"/>
    </row>
    <row r="74" spans="2:14" ht="14.4" customHeight="1" thickBot="1" x14ac:dyDescent="0.35">
      <c r="B74"/>
      <c r="C74" s="51" t="s">
        <v>51</v>
      </c>
      <c r="D74" s="51"/>
      <c r="E74" s="51"/>
      <c r="F74" s="51"/>
      <c r="G74" s="51"/>
      <c r="H74" s="3"/>
      <c r="I74" s="51" t="s">
        <v>52</v>
      </c>
      <c r="J74" s="51"/>
      <c r="K74" s="51"/>
      <c r="L74" s="51"/>
      <c r="M74" s="51"/>
      <c r="N74" s="25"/>
    </row>
    <row r="75" spans="2:14" x14ac:dyDescent="0.3">
      <c r="B75"/>
      <c r="C75" s="3"/>
      <c r="D75" s="3"/>
      <c r="E75" s="3"/>
      <c r="F75" s="3"/>
      <c r="G75" s="3"/>
      <c r="H75" s="3"/>
      <c r="I75" s="3"/>
      <c r="J75" s="3"/>
      <c r="K75" s="3"/>
      <c r="L75" s="3"/>
      <c r="M75" s="3"/>
      <c r="N75"/>
    </row>
    <row r="76" spans="2:14" x14ac:dyDescent="0.3">
      <c r="B76"/>
      <c r="C76" s="3"/>
      <c r="D76" s="3"/>
      <c r="E76" s="3"/>
      <c r="F76" s="3"/>
      <c r="G76" s="3"/>
      <c r="H76" s="3"/>
      <c r="I76" s="3"/>
      <c r="J76" s="3"/>
      <c r="K76" s="3"/>
      <c r="L76" s="3"/>
      <c r="M76" s="3"/>
      <c r="N76"/>
    </row>
    <row r="77" spans="2:14" x14ac:dyDescent="0.3">
      <c r="B77"/>
      <c r="C77" s="3"/>
      <c r="D77" s="3"/>
      <c r="E77" s="3"/>
      <c r="F77" s="3"/>
      <c r="G77" s="3"/>
      <c r="H77" s="3"/>
      <c r="I77" s="3"/>
      <c r="J77" s="3"/>
      <c r="K77" s="3"/>
      <c r="L77" s="3"/>
      <c r="M77" s="3"/>
      <c r="N77"/>
    </row>
    <row r="78" spans="2:14" ht="28.2" customHeight="1" x14ac:dyDescent="0.3">
      <c r="B78"/>
      <c r="C78" s="3"/>
      <c r="D78" s="3"/>
      <c r="E78" s="3"/>
      <c r="F78" s="3"/>
      <c r="G78" s="3"/>
      <c r="H78" s="3"/>
      <c r="I78" s="3"/>
      <c r="J78" s="3"/>
      <c r="K78" s="3"/>
      <c r="L78" s="3"/>
      <c r="M78" s="3"/>
      <c r="N78"/>
    </row>
    <row r="79" spans="2:14" ht="19.2" customHeight="1" x14ac:dyDescent="0.3">
      <c r="B79"/>
      <c r="C79" s="3"/>
      <c r="D79" s="3"/>
      <c r="E79" s="3"/>
      <c r="F79" s="3"/>
      <c r="G79" s="3"/>
      <c r="H79" s="3"/>
      <c r="I79" s="3"/>
      <c r="J79" s="3"/>
      <c r="K79" s="3"/>
      <c r="L79" s="3"/>
      <c r="M79" s="3"/>
      <c r="N79"/>
    </row>
    <row r="80" spans="2:14" x14ac:dyDescent="0.3">
      <c r="B80"/>
      <c r="C80" s="3"/>
      <c r="D80" s="3"/>
      <c r="E80" s="3"/>
      <c r="F80" s="3"/>
      <c r="G80" s="3"/>
      <c r="H80" s="3"/>
      <c r="I80" s="3"/>
      <c r="J80" s="3"/>
      <c r="K80" s="3"/>
      <c r="L80" s="3"/>
      <c r="M80" s="3"/>
      <c r="N80"/>
    </row>
    <row r="81" spans="2:14" x14ac:dyDescent="0.3">
      <c r="B81"/>
      <c r="C81" s="52"/>
      <c r="D81" s="52"/>
      <c r="E81" s="52"/>
      <c r="F81" s="52"/>
      <c r="G81" s="52"/>
      <c r="H81" s="3"/>
      <c r="I81" s="52"/>
      <c r="J81" s="52"/>
      <c r="K81" s="52"/>
      <c r="L81" s="52"/>
      <c r="M81" s="52"/>
      <c r="N81"/>
    </row>
    <row r="82" spans="2:14" x14ac:dyDescent="0.3">
      <c r="B82"/>
      <c r="C82" s="3"/>
      <c r="D82" s="3"/>
      <c r="E82" s="3"/>
      <c r="F82" s="3"/>
      <c r="G82" s="3"/>
      <c r="H82" s="3"/>
      <c r="I82" s="3"/>
      <c r="J82" s="3"/>
      <c r="K82" s="3"/>
      <c r="L82" s="3"/>
      <c r="M82" s="3"/>
      <c r="N82"/>
    </row>
    <row r="83" spans="2:14" x14ac:dyDescent="0.3">
      <c r="B83"/>
      <c r="C83" s="3"/>
      <c r="D83" s="3"/>
      <c r="E83" s="3"/>
      <c r="F83" s="3"/>
      <c r="G83" s="3"/>
      <c r="H83" s="3"/>
      <c r="I83" s="3"/>
      <c r="J83" s="3"/>
      <c r="K83" s="3"/>
      <c r="L83" s="3"/>
      <c r="M83" s="3"/>
      <c r="N83"/>
    </row>
    <row r="84" spans="2:14" x14ac:dyDescent="0.3">
      <c r="B84"/>
      <c r="C84" s="3"/>
      <c r="D84" s="3"/>
      <c r="E84" s="3"/>
      <c r="F84" s="3"/>
      <c r="G84" s="3"/>
      <c r="H84" s="3"/>
      <c r="I84" s="3"/>
      <c r="J84" s="3"/>
      <c r="K84" s="3"/>
      <c r="L84" s="3"/>
      <c r="M84" s="3"/>
      <c r="N84"/>
    </row>
    <row r="85" spans="2:14" x14ac:dyDescent="0.3">
      <c r="B85"/>
      <c r="C85" s="3"/>
      <c r="D85" s="3"/>
      <c r="E85" s="3"/>
      <c r="F85" s="3"/>
      <c r="G85" s="3"/>
      <c r="H85" s="3"/>
      <c r="I85" s="3"/>
      <c r="J85" s="3"/>
      <c r="K85" s="3"/>
      <c r="L85" s="3"/>
      <c r="M85" s="3"/>
      <c r="N85"/>
    </row>
    <row r="86" spans="2:14" ht="14.4" customHeight="1" x14ac:dyDescent="0.3">
      <c r="B86"/>
      <c r="C86" s="50" t="s">
        <v>53</v>
      </c>
      <c r="D86" s="50"/>
      <c r="E86" s="50"/>
      <c r="F86" s="50"/>
      <c r="G86" s="50"/>
      <c r="H86" s="50"/>
      <c r="I86" s="50"/>
      <c r="J86" s="50"/>
      <c r="K86" s="50"/>
      <c r="L86" s="50"/>
      <c r="M86" s="50"/>
      <c r="N86"/>
    </row>
    <row r="87" spans="2:14" ht="15.6" customHeight="1" x14ac:dyDescent="0.3">
      <c r="B87"/>
      <c r="C87" s="50"/>
      <c r="D87" s="50"/>
      <c r="E87" s="50"/>
      <c r="F87" s="50"/>
      <c r="G87" s="50"/>
      <c r="H87" s="50"/>
      <c r="I87" s="50"/>
      <c r="J87" s="50"/>
      <c r="K87" s="50"/>
      <c r="L87" s="50"/>
      <c r="M87" s="50"/>
      <c r="N87"/>
    </row>
    <row r="88" spans="2:14" ht="14.4" customHeight="1" x14ac:dyDescent="0.3">
      <c r="B88"/>
      <c r="C88" s="50"/>
      <c r="D88" s="50"/>
      <c r="E88" s="50"/>
      <c r="F88" s="50"/>
      <c r="G88" s="50"/>
      <c r="H88" s="50"/>
      <c r="I88" s="50"/>
      <c r="J88" s="50"/>
      <c r="K88" s="50"/>
      <c r="L88" s="50"/>
      <c r="M88" s="50"/>
      <c r="N88"/>
    </row>
    <row r="89" spans="2:14" x14ac:dyDescent="0.3">
      <c r="B89"/>
      <c r="C89" s="50"/>
      <c r="D89" s="50"/>
      <c r="E89" s="50"/>
      <c r="F89" s="50"/>
      <c r="G89" s="50"/>
      <c r="H89" s="50"/>
      <c r="I89" s="50"/>
      <c r="J89" s="50"/>
      <c r="K89" s="50"/>
      <c r="L89" s="50"/>
      <c r="M89" s="50"/>
      <c r="N89"/>
    </row>
    <row r="90" spans="2:14" x14ac:dyDescent="0.3">
      <c r="B90"/>
      <c r="C90" s="50"/>
      <c r="D90" s="50"/>
      <c r="E90" s="50"/>
      <c r="F90" s="50"/>
      <c r="G90" s="50"/>
      <c r="H90" s="50"/>
      <c r="I90" s="50"/>
      <c r="J90" s="50"/>
      <c r="K90" s="50"/>
      <c r="L90" s="50"/>
      <c r="M90" s="50"/>
      <c r="N90"/>
    </row>
    <row r="91" spans="2:14" x14ac:dyDescent="0.3">
      <c r="B91"/>
      <c r="C91" s="50"/>
      <c r="D91" s="50"/>
      <c r="E91" s="50"/>
      <c r="F91" s="50"/>
      <c r="G91" s="50"/>
      <c r="H91" s="50"/>
      <c r="I91" s="50"/>
      <c r="J91" s="50"/>
      <c r="K91" s="50"/>
      <c r="L91" s="50"/>
      <c r="M91" s="50"/>
      <c r="N91"/>
    </row>
    <row r="92" spans="2:14" x14ac:dyDescent="0.3">
      <c r="B92"/>
      <c r="C92" s="50"/>
      <c r="D92" s="50"/>
      <c r="E92" s="50"/>
      <c r="F92" s="50"/>
      <c r="G92" s="50"/>
      <c r="H92" s="50"/>
      <c r="I92" s="50"/>
      <c r="J92" s="50"/>
      <c r="K92" s="50"/>
      <c r="L92" s="50"/>
      <c r="M92" s="50"/>
      <c r="N92"/>
    </row>
    <row r="93" spans="2:14" x14ac:dyDescent="0.3">
      <c r="B93"/>
      <c r="C93" s="50"/>
      <c r="D93" s="50"/>
      <c r="E93" s="50"/>
      <c r="F93" s="50"/>
      <c r="G93" s="50"/>
      <c r="H93" s="50"/>
      <c r="I93" s="50"/>
      <c r="J93" s="50"/>
      <c r="K93" s="50"/>
      <c r="L93" s="50"/>
      <c r="M93" s="50"/>
      <c r="N93"/>
    </row>
    <row r="94" spans="2:14" ht="6.6" customHeight="1" x14ac:dyDescent="0.3">
      <c r="B94"/>
      <c r="C94" s="3"/>
      <c r="D94" s="3"/>
      <c r="E94" s="3"/>
      <c r="F94" s="3"/>
      <c r="G94" s="3"/>
      <c r="H94" s="3"/>
      <c r="I94" s="3"/>
      <c r="J94" s="3"/>
      <c r="K94" s="3"/>
      <c r="L94" s="3"/>
      <c r="M94" s="3"/>
      <c r="N94"/>
    </row>
    <row r="95" spans="2:14" ht="4.8" customHeight="1" x14ac:dyDescent="0.45">
      <c r="B95"/>
      <c r="C95" s="48"/>
      <c r="D95" s="48"/>
      <c r="E95" s="48"/>
      <c r="F95" s="48"/>
      <c r="G95" s="48"/>
      <c r="H95" s="48"/>
      <c r="I95" s="48"/>
      <c r="J95" s="48"/>
      <c r="K95" s="48"/>
      <c r="L95" s="48"/>
      <c r="M95" s="48"/>
      <c r="N95"/>
    </row>
    <row r="96" spans="2:14" ht="23.4" x14ac:dyDescent="0.45">
      <c r="B96"/>
      <c r="C96" s="20" t="s">
        <v>38</v>
      </c>
      <c r="D96" s="21"/>
      <c r="E96" s="21"/>
      <c r="F96" s="21"/>
      <c r="G96" s="21"/>
      <c r="H96" s="21"/>
      <c r="I96" s="21"/>
      <c r="J96" s="21"/>
      <c r="K96" s="21"/>
      <c r="L96" s="21"/>
      <c r="M96" s="21"/>
      <c r="N96"/>
    </row>
    <row r="97" spans="2:14" ht="24" thickBot="1" x14ac:dyDescent="0.5">
      <c r="B97"/>
      <c r="C97" s="20"/>
      <c r="D97" s="21"/>
      <c r="E97" s="21"/>
      <c r="F97" s="21"/>
      <c r="G97" s="21"/>
      <c r="H97" s="21"/>
      <c r="I97" s="21"/>
      <c r="J97" s="21"/>
      <c r="K97" s="21"/>
      <c r="L97" s="21"/>
      <c r="M97" s="21"/>
      <c r="N97"/>
    </row>
    <row r="98" spans="2:14" ht="15" thickBot="1" x14ac:dyDescent="0.35">
      <c r="B98"/>
      <c r="C98" s="49" t="s">
        <v>54</v>
      </c>
      <c r="D98" s="49"/>
      <c r="E98" s="49"/>
      <c r="F98" s="49"/>
      <c r="G98" s="49"/>
      <c r="H98" s="49"/>
      <c r="I98" s="49"/>
      <c r="J98" s="49"/>
      <c r="K98" s="49"/>
      <c r="L98" s="49"/>
      <c r="M98" s="49"/>
      <c r="N98"/>
    </row>
    <row r="99" spans="2:14" x14ac:dyDescent="0.3">
      <c r="B99"/>
      <c r="C99" s="22" t="s">
        <v>40</v>
      </c>
      <c r="D99" s="22"/>
      <c r="E99" s="22"/>
      <c r="F99" s="22"/>
      <c r="G99" s="23"/>
      <c r="H99" s="23"/>
      <c r="I99" s="24" t="s">
        <v>55</v>
      </c>
      <c r="J99" s="24" t="s">
        <v>56</v>
      </c>
      <c r="K99" s="24" t="s">
        <v>57</v>
      </c>
      <c r="L99" s="24" t="s">
        <v>58</v>
      </c>
      <c r="M99" s="24" t="s">
        <v>59</v>
      </c>
      <c r="N99"/>
    </row>
    <row r="100" spans="2:14" x14ac:dyDescent="0.3">
      <c r="B100"/>
      <c r="C100" s="26" t="s">
        <v>46</v>
      </c>
      <c r="D100" s="27"/>
      <c r="E100" s="27"/>
      <c r="F100" s="27"/>
      <c r="G100" s="3"/>
      <c r="H100" s="3"/>
      <c r="I100" s="32">
        <v>0.18629999999999999</v>
      </c>
      <c r="J100" s="33">
        <v>0.98</v>
      </c>
      <c r="K100" s="33">
        <v>1.4</v>
      </c>
      <c r="L100" s="33">
        <v>1</v>
      </c>
      <c r="M100" s="32">
        <v>4.6699999999999998E-2</v>
      </c>
      <c r="N100"/>
    </row>
    <row r="101" spans="2:14" x14ac:dyDescent="0.3">
      <c r="B101"/>
      <c r="C101" s="26" t="s">
        <v>19</v>
      </c>
      <c r="D101" s="27"/>
      <c r="E101" s="27"/>
      <c r="F101" s="27"/>
      <c r="G101" s="3"/>
      <c r="H101" s="3"/>
      <c r="I101" s="34">
        <v>0.18059999999999998</v>
      </c>
      <c r="J101" s="33">
        <v>0.75</v>
      </c>
      <c r="K101" s="33">
        <v>0.99</v>
      </c>
      <c r="L101" s="35">
        <v>1</v>
      </c>
      <c r="M101" s="34">
        <v>0</v>
      </c>
      <c r="N101"/>
    </row>
    <row r="102" spans="2:14" x14ac:dyDescent="0.3">
      <c r="B102"/>
      <c r="C102" s="26" t="s">
        <v>60</v>
      </c>
      <c r="D102" s="27"/>
      <c r="E102" s="27"/>
      <c r="F102" s="27"/>
      <c r="G102" s="3"/>
      <c r="H102" s="3"/>
      <c r="I102" s="34">
        <v>0.17879999999999999</v>
      </c>
      <c r="J102" s="33">
        <v>0.79</v>
      </c>
      <c r="K102" s="33">
        <v>1.03</v>
      </c>
      <c r="L102" s="35">
        <v>0.96</v>
      </c>
      <c r="M102" s="34">
        <v>1.11E-2</v>
      </c>
      <c r="N102"/>
    </row>
    <row r="103" spans="2:14" x14ac:dyDescent="0.3">
      <c r="B103"/>
      <c r="C103" s="3"/>
      <c r="D103" s="3"/>
      <c r="E103" s="3"/>
      <c r="F103" s="3"/>
      <c r="G103" s="3"/>
      <c r="H103" s="3"/>
      <c r="I103" s="3"/>
      <c r="J103" s="3"/>
      <c r="K103" s="3"/>
      <c r="L103" s="3"/>
      <c r="M103" s="3"/>
      <c r="N103"/>
    </row>
    <row r="104" spans="2:14" x14ac:dyDescent="0.3">
      <c r="B104"/>
      <c r="C104" s="50" t="s">
        <v>61</v>
      </c>
      <c r="D104" s="50"/>
      <c r="E104" s="50"/>
      <c r="F104" s="50"/>
      <c r="G104" s="50"/>
      <c r="H104" s="50"/>
      <c r="I104" s="50"/>
      <c r="J104" s="50"/>
      <c r="K104" s="50"/>
      <c r="L104" s="50"/>
      <c r="M104" s="50"/>
      <c r="N104"/>
    </row>
    <row r="105" spans="2:14" x14ac:dyDescent="0.3">
      <c r="B105"/>
      <c r="C105" s="50"/>
      <c r="D105" s="50"/>
      <c r="E105" s="50"/>
      <c r="F105" s="50"/>
      <c r="G105" s="50"/>
      <c r="H105" s="50"/>
      <c r="I105" s="50"/>
      <c r="J105" s="50"/>
      <c r="K105" s="50"/>
      <c r="L105" s="50"/>
      <c r="M105" s="50"/>
      <c r="N105"/>
    </row>
    <row r="106" spans="2:14" x14ac:dyDescent="0.3">
      <c r="B106"/>
      <c r="C106" s="50"/>
      <c r="D106" s="50"/>
      <c r="E106" s="50"/>
      <c r="F106" s="50"/>
      <c r="G106" s="50"/>
      <c r="H106" s="50"/>
      <c r="I106" s="50"/>
      <c r="J106" s="50"/>
      <c r="K106" s="50"/>
      <c r="L106" s="50"/>
      <c r="M106" s="50"/>
      <c r="N106"/>
    </row>
    <row r="107" spans="2:14" x14ac:dyDescent="0.3">
      <c r="B107"/>
      <c r="C107" s="50"/>
      <c r="D107" s="50"/>
      <c r="E107" s="50"/>
      <c r="F107" s="50"/>
      <c r="G107" s="50"/>
      <c r="H107" s="50"/>
      <c r="I107" s="50"/>
      <c r="J107" s="50"/>
      <c r="K107" s="50"/>
      <c r="L107" s="50"/>
      <c r="M107" s="50"/>
      <c r="N107"/>
    </row>
    <row r="108" spans="2:14" x14ac:dyDescent="0.3">
      <c r="B108"/>
      <c r="C108" s="50"/>
      <c r="D108" s="50"/>
      <c r="E108" s="50"/>
      <c r="F108" s="50"/>
      <c r="G108" s="50"/>
      <c r="H108" s="50"/>
      <c r="I108" s="50"/>
      <c r="J108" s="50"/>
      <c r="K108" s="50"/>
      <c r="L108" s="50"/>
      <c r="M108" s="50"/>
      <c r="N108"/>
    </row>
    <row r="109" spans="2:14" x14ac:dyDescent="0.3">
      <c r="B109"/>
      <c r="C109" s="50"/>
      <c r="D109" s="50"/>
      <c r="E109" s="50"/>
      <c r="F109" s="50"/>
      <c r="G109" s="50"/>
      <c r="H109" s="50"/>
      <c r="I109" s="50"/>
      <c r="J109" s="50"/>
      <c r="K109" s="50"/>
      <c r="L109" s="50"/>
      <c r="M109" s="50"/>
      <c r="N109"/>
    </row>
    <row r="110" spans="2:14" x14ac:dyDescent="0.3">
      <c r="B110"/>
      <c r="C110" s="50"/>
      <c r="D110" s="50"/>
      <c r="E110" s="50"/>
      <c r="F110" s="50"/>
      <c r="G110" s="50"/>
      <c r="H110" s="50"/>
      <c r="I110" s="50"/>
      <c r="J110" s="50"/>
      <c r="K110" s="50"/>
      <c r="L110" s="50"/>
      <c r="M110" s="50"/>
      <c r="N110"/>
    </row>
    <row r="111" spans="2:14" x14ac:dyDescent="0.3">
      <c r="B111"/>
      <c r="C111" s="50"/>
      <c r="D111" s="50"/>
      <c r="E111" s="50"/>
      <c r="F111" s="50"/>
      <c r="G111" s="50"/>
      <c r="H111" s="50"/>
      <c r="I111" s="50"/>
      <c r="J111" s="50"/>
      <c r="K111" s="50"/>
      <c r="L111" s="50"/>
      <c r="M111" s="50"/>
      <c r="N111"/>
    </row>
    <row r="112" spans="2:14" ht="34.200000000000003" customHeight="1" thickBot="1" x14ac:dyDescent="0.5">
      <c r="B112"/>
      <c r="C112" s="36"/>
      <c r="D112" s="21"/>
      <c r="E112" s="21"/>
      <c r="F112" s="21"/>
      <c r="G112" s="21"/>
      <c r="H112" s="21"/>
      <c r="I112" s="21"/>
      <c r="J112" s="21"/>
      <c r="K112" s="21"/>
      <c r="L112" s="21"/>
      <c r="M112" s="21"/>
      <c r="N112"/>
    </row>
    <row r="113" spans="2:14" ht="15" thickBot="1" x14ac:dyDescent="0.35">
      <c r="B113"/>
      <c r="C113" s="49" t="s">
        <v>62</v>
      </c>
      <c r="D113" s="49"/>
      <c r="E113" s="49"/>
      <c r="F113" s="49"/>
      <c r="G113" s="49"/>
      <c r="H113" s="49"/>
      <c r="I113" s="49"/>
      <c r="J113" s="49"/>
      <c r="K113" s="49"/>
      <c r="L113" s="49"/>
      <c r="M113" s="49"/>
      <c r="N113"/>
    </row>
    <row r="114" spans="2:14" x14ac:dyDescent="0.3">
      <c r="B114"/>
      <c r="C114" s="3"/>
      <c r="D114" s="3"/>
      <c r="E114" s="3"/>
      <c r="F114" s="3"/>
      <c r="G114" s="3"/>
      <c r="H114" s="3"/>
      <c r="I114" s="3"/>
      <c r="J114" s="3"/>
      <c r="K114" s="3"/>
      <c r="L114" s="3"/>
      <c r="M114" s="3"/>
      <c r="N114"/>
    </row>
    <row r="115" spans="2:14" x14ac:dyDescent="0.3">
      <c r="B115"/>
      <c r="C115" s="22" t="s">
        <v>40</v>
      </c>
      <c r="D115" s="37"/>
      <c r="E115" s="37"/>
      <c r="F115" s="37"/>
      <c r="G115" s="3"/>
      <c r="H115" s="3"/>
      <c r="I115" s="3"/>
      <c r="J115" s="3"/>
      <c r="K115" s="24" t="s">
        <v>63</v>
      </c>
      <c r="L115" s="24" t="s">
        <v>64</v>
      </c>
      <c r="M115" s="24" t="s">
        <v>65</v>
      </c>
      <c r="N115"/>
    </row>
    <row r="116" spans="2:14" x14ac:dyDescent="0.3">
      <c r="B116"/>
      <c r="C116" s="26" t="s">
        <v>66</v>
      </c>
      <c r="D116" s="26"/>
      <c r="E116" s="26"/>
      <c r="F116" s="26"/>
      <c r="G116" s="3"/>
      <c r="H116" s="3"/>
      <c r="I116" s="3"/>
      <c r="J116" s="3"/>
      <c r="K116" s="38">
        <v>20.96</v>
      </c>
      <c r="L116" s="38">
        <v>26.2</v>
      </c>
      <c r="M116" s="38">
        <v>21.42</v>
      </c>
      <c r="N116"/>
    </row>
    <row r="117" spans="2:14" x14ac:dyDescent="0.3">
      <c r="B117"/>
      <c r="C117" s="26" t="s">
        <v>67</v>
      </c>
      <c r="D117" s="26"/>
      <c r="E117" s="26"/>
      <c r="F117" s="26"/>
      <c r="G117" s="3"/>
      <c r="H117" s="3"/>
      <c r="I117" s="3"/>
      <c r="J117" s="3"/>
      <c r="K117" s="38">
        <v>3.78</v>
      </c>
      <c r="L117" s="38">
        <v>3.67</v>
      </c>
      <c r="M117" s="38">
        <v>2.94</v>
      </c>
      <c r="N117"/>
    </row>
    <row r="118" spans="2:14" x14ac:dyDescent="0.3">
      <c r="B118"/>
      <c r="C118" s="26" t="s">
        <v>68</v>
      </c>
      <c r="D118" s="26"/>
      <c r="E118" s="26"/>
      <c r="F118" s="26"/>
      <c r="G118" s="3"/>
      <c r="H118" s="3"/>
      <c r="I118" s="3"/>
      <c r="J118" s="3"/>
      <c r="K118" s="38">
        <v>1.97</v>
      </c>
      <c r="L118" s="38">
        <v>2.82</v>
      </c>
      <c r="M118" s="38">
        <v>2.37</v>
      </c>
      <c r="N118"/>
    </row>
    <row r="119" spans="2:14" x14ac:dyDescent="0.3">
      <c r="B119"/>
      <c r="C119" s="26" t="s">
        <v>69</v>
      </c>
      <c r="D119" s="26"/>
      <c r="E119" s="26"/>
      <c r="F119" s="26"/>
      <c r="G119" s="3"/>
      <c r="H119" s="3"/>
      <c r="I119" s="3"/>
      <c r="J119" s="3"/>
      <c r="K119" s="38">
        <v>14.34</v>
      </c>
      <c r="L119" s="38">
        <v>21.07</v>
      </c>
      <c r="M119" s="38">
        <v>14.89</v>
      </c>
      <c r="N119"/>
    </row>
    <row r="120" spans="2:14" x14ac:dyDescent="0.3">
      <c r="B120"/>
      <c r="C120" s="26" t="s">
        <v>70</v>
      </c>
      <c r="D120" s="26"/>
      <c r="E120" s="26"/>
      <c r="F120" s="26"/>
      <c r="G120" s="3"/>
      <c r="H120" s="3"/>
      <c r="I120" s="3"/>
      <c r="J120" s="3"/>
      <c r="K120" s="34">
        <v>8.6E-3</v>
      </c>
      <c r="L120" s="34">
        <v>7.4999999999999997E-3</v>
      </c>
      <c r="M120" s="34">
        <v>1.3500000000000002E-2</v>
      </c>
      <c r="N120"/>
    </row>
    <row r="121" spans="2:14" x14ac:dyDescent="0.3">
      <c r="B121"/>
      <c r="C121" s="26" t="s">
        <v>71</v>
      </c>
      <c r="D121" s="26"/>
      <c r="E121" s="26"/>
      <c r="F121" s="26"/>
      <c r="G121" s="3"/>
      <c r="H121" s="3"/>
      <c r="I121" s="3"/>
      <c r="J121" s="3"/>
      <c r="K121" s="34">
        <v>0.21840000000000001</v>
      </c>
      <c r="L121" s="34">
        <v>0.14529999999999998</v>
      </c>
      <c r="M121" s="34">
        <v>0.12590000000000001</v>
      </c>
      <c r="N121"/>
    </row>
    <row r="122" spans="2:14" x14ac:dyDescent="0.3">
      <c r="B122"/>
      <c r="C122" s="26" t="s">
        <v>72</v>
      </c>
      <c r="D122" s="26"/>
      <c r="E122" s="26"/>
      <c r="F122" s="26"/>
      <c r="G122" s="3"/>
      <c r="H122" s="3"/>
      <c r="I122" s="3"/>
      <c r="J122" s="3"/>
      <c r="K122" s="34">
        <v>0.24660000000000001</v>
      </c>
      <c r="L122" s="34">
        <v>0.17980000000000002</v>
      </c>
      <c r="M122" s="34">
        <v>9.11E-2</v>
      </c>
      <c r="N122"/>
    </row>
    <row r="123" spans="2:14" x14ac:dyDescent="0.3">
      <c r="B123"/>
      <c r="C123" s="26" t="s">
        <v>73</v>
      </c>
      <c r="D123" s="26"/>
      <c r="E123" s="26"/>
      <c r="F123" s="26"/>
      <c r="G123" s="3"/>
      <c r="H123" s="3"/>
      <c r="I123" s="3"/>
      <c r="J123" s="3"/>
      <c r="K123" s="34">
        <v>0.15039999999999998</v>
      </c>
      <c r="L123" s="34">
        <v>0.14119999999999999</v>
      </c>
      <c r="M123" s="34">
        <v>0.14019999999999999</v>
      </c>
      <c r="N123"/>
    </row>
    <row r="124" spans="2:14" x14ac:dyDescent="0.3">
      <c r="B124"/>
      <c r="C124" s="29"/>
      <c r="D124" s="29"/>
      <c r="E124" s="29"/>
      <c r="F124" s="29"/>
      <c r="G124" s="3"/>
      <c r="H124" s="3"/>
      <c r="I124" s="3"/>
      <c r="J124" s="3"/>
      <c r="K124" s="39"/>
      <c r="L124" s="39"/>
      <c r="M124" s="39"/>
      <c r="N124"/>
    </row>
    <row r="125" spans="2:14" x14ac:dyDescent="0.3">
      <c r="B125"/>
      <c r="C125" s="22" t="s">
        <v>74</v>
      </c>
      <c r="D125" s="37"/>
      <c r="E125" s="37"/>
      <c r="F125" s="37"/>
      <c r="G125" s="3"/>
      <c r="H125" s="3"/>
      <c r="I125" s="3"/>
      <c r="J125" s="3"/>
      <c r="K125" s="39"/>
      <c r="L125" s="39"/>
      <c r="M125" s="24" t="s">
        <v>63</v>
      </c>
      <c r="N125"/>
    </row>
    <row r="126" spans="2:14" x14ac:dyDescent="0.3">
      <c r="B126"/>
      <c r="C126" s="26" t="s">
        <v>75</v>
      </c>
      <c r="D126" s="26"/>
      <c r="E126" s="26"/>
      <c r="F126" s="26"/>
      <c r="G126" s="3"/>
      <c r="H126" s="3"/>
      <c r="I126" s="3"/>
      <c r="J126" s="3"/>
      <c r="K126" s="40"/>
      <c r="L126" s="40"/>
      <c r="M126" s="38">
        <v>80</v>
      </c>
      <c r="N126"/>
    </row>
    <row r="127" spans="2:14" x14ac:dyDescent="0.3">
      <c r="B127"/>
      <c r="C127" s="26" t="s">
        <v>76</v>
      </c>
      <c r="D127" s="26"/>
      <c r="E127" s="26"/>
      <c r="F127" s="26"/>
      <c r="G127" s="3"/>
      <c r="H127" s="3"/>
      <c r="I127" s="3"/>
      <c r="J127" s="3"/>
      <c r="K127" s="40"/>
      <c r="L127" s="40"/>
      <c r="M127" s="41">
        <v>0.37959999999999999</v>
      </c>
      <c r="N127"/>
    </row>
    <row r="128" spans="2:14" x14ac:dyDescent="0.3">
      <c r="B128"/>
      <c r="C128" s="26" t="s">
        <v>77</v>
      </c>
      <c r="D128" s="26"/>
      <c r="E128" s="26"/>
      <c r="F128" s="26"/>
      <c r="G128" s="3"/>
      <c r="H128" s="3"/>
      <c r="I128" s="3"/>
      <c r="J128" s="3"/>
      <c r="K128" s="40"/>
      <c r="L128" s="40"/>
      <c r="M128" s="41">
        <v>0.2238</v>
      </c>
      <c r="N128"/>
    </row>
    <row r="129" spans="2:14" x14ac:dyDescent="0.3">
      <c r="B129"/>
      <c r="C129" s="26" t="s">
        <v>78</v>
      </c>
      <c r="D129" s="26"/>
      <c r="E129" s="26"/>
      <c r="F129" s="26"/>
      <c r="G129" s="3"/>
      <c r="H129" s="3"/>
      <c r="I129" s="3"/>
      <c r="J129" s="3"/>
      <c r="K129" s="40"/>
      <c r="L129" s="40"/>
      <c r="M129" s="41">
        <v>0.14949999999999999</v>
      </c>
      <c r="N129"/>
    </row>
    <row r="130" spans="2:14" x14ac:dyDescent="0.3">
      <c r="B130"/>
      <c r="C130" s="26" t="s">
        <v>79</v>
      </c>
      <c r="D130" s="26"/>
      <c r="E130" s="26"/>
      <c r="F130" s="26"/>
      <c r="G130" s="3"/>
      <c r="H130" s="3"/>
      <c r="I130" s="3"/>
      <c r="J130" s="3"/>
      <c r="K130" s="40"/>
      <c r="L130" s="40"/>
      <c r="M130" s="42">
        <v>68595.06</v>
      </c>
      <c r="N130"/>
    </row>
    <row r="131" spans="2:14" x14ac:dyDescent="0.3">
      <c r="B131"/>
      <c r="C131" s="29"/>
      <c r="D131" s="29"/>
      <c r="E131" s="29"/>
      <c r="F131" s="29"/>
      <c r="G131" s="3"/>
      <c r="H131" s="3"/>
      <c r="I131" s="3"/>
      <c r="J131" s="3"/>
      <c r="K131" s="39"/>
      <c r="L131" s="39"/>
      <c r="M131" s="39"/>
      <c r="N131"/>
    </row>
    <row r="132" spans="2:14" x14ac:dyDescent="0.3">
      <c r="B132"/>
      <c r="C132" s="25"/>
      <c r="D132" s="3"/>
      <c r="E132" s="3"/>
      <c r="F132" s="3"/>
      <c r="G132" s="3"/>
      <c r="H132" s="3"/>
      <c r="I132" s="3"/>
      <c r="J132" s="3"/>
      <c r="K132" s="3"/>
      <c r="L132" s="3"/>
      <c r="M132" s="3"/>
      <c r="N132"/>
    </row>
    <row r="133" spans="2:14" x14ac:dyDescent="0.3">
      <c r="B133"/>
      <c r="C133" s="22" t="s">
        <v>80</v>
      </c>
      <c r="D133" s="37"/>
      <c r="E133" s="37"/>
      <c r="F133" s="37"/>
      <c r="G133" s="23"/>
      <c r="H133" s="3"/>
      <c r="I133" s="3"/>
      <c r="J133" s="22" t="s">
        <v>81</v>
      </c>
      <c r="K133" s="37"/>
      <c r="L133" s="37"/>
      <c r="M133" s="22"/>
      <c r="N133"/>
    </row>
    <row r="134" spans="2:14" x14ac:dyDescent="0.3">
      <c r="B134"/>
      <c r="C134" s="3"/>
      <c r="D134" s="3"/>
      <c r="E134" s="3"/>
      <c r="F134" s="3"/>
      <c r="G134" s="3"/>
      <c r="H134" s="3"/>
      <c r="I134" s="3"/>
      <c r="J134" s="3"/>
      <c r="K134" s="3"/>
      <c r="L134" s="3"/>
      <c r="M134" s="3"/>
      <c r="N134"/>
    </row>
    <row r="135" spans="2:14" x14ac:dyDescent="0.3">
      <c r="B135"/>
      <c r="C135" s="3"/>
      <c r="D135" s="3"/>
      <c r="E135" s="3"/>
      <c r="F135" s="3"/>
      <c r="G135" s="3"/>
      <c r="H135" s="3"/>
      <c r="I135" s="3"/>
      <c r="J135" s="3"/>
      <c r="K135" s="3"/>
      <c r="L135" s="3"/>
      <c r="M135" s="3"/>
      <c r="N135"/>
    </row>
    <row r="136" spans="2:14" x14ac:dyDescent="0.3">
      <c r="B136"/>
      <c r="C136" s="3"/>
      <c r="D136" s="3"/>
      <c r="E136" s="3"/>
      <c r="F136" s="3"/>
      <c r="G136" s="3"/>
      <c r="H136" s="3"/>
      <c r="I136" s="3"/>
      <c r="J136" s="3"/>
      <c r="K136" s="3"/>
      <c r="L136" s="3"/>
      <c r="M136" s="3"/>
      <c r="N136"/>
    </row>
    <row r="137" spans="2:14" x14ac:dyDescent="0.3">
      <c r="B137"/>
      <c r="C137" s="3"/>
      <c r="D137" s="3"/>
      <c r="E137" s="3"/>
      <c r="F137" s="3"/>
      <c r="G137" s="3"/>
      <c r="H137" s="3"/>
      <c r="I137" s="3"/>
      <c r="J137" s="3"/>
      <c r="K137" s="3"/>
      <c r="L137" s="3"/>
      <c r="M137" s="3"/>
      <c r="N137"/>
    </row>
    <row r="138" spans="2:14" x14ac:dyDescent="0.3">
      <c r="B138"/>
      <c r="C138" s="3"/>
      <c r="D138" s="3"/>
      <c r="E138" s="3"/>
      <c r="F138" s="3"/>
      <c r="G138" s="3"/>
      <c r="H138" s="3"/>
      <c r="I138" s="3"/>
      <c r="J138" s="3"/>
      <c r="K138" s="3"/>
      <c r="L138" s="3"/>
      <c r="M138" s="3"/>
      <c r="N138"/>
    </row>
    <row r="139" spans="2:14" x14ac:dyDescent="0.3">
      <c r="B139"/>
      <c r="C139" s="3"/>
      <c r="D139" s="3"/>
      <c r="E139" s="3"/>
      <c r="F139" s="3"/>
      <c r="G139" s="3"/>
      <c r="H139" s="3"/>
      <c r="I139" s="3"/>
      <c r="J139" s="3"/>
      <c r="K139" s="3"/>
      <c r="L139" s="3"/>
      <c r="M139" s="3"/>
      <c r="N139"/>
    </row>
    <row r="140" spans="2:14" x14ac:dyDescent="0.3">
      <c r="B140"/>
      <c r="C140" s="3"/>
      <c r="D140" s="3"/>
      <c r="E140" s="3"/>
      <c r="F140" s="3"/>
      <c r="G140" s="3"/>
      <c r="H140" s="3"/>
      <c r="I140" s="3"/>
      <c r="J140" s="3"/>
      <c r="K140" s="3"/>
      <c r="L140" s="3"/>
      <c r="M140" s="3"/>
      <c r="N140"/>
    </row>
    <row r="141" spans="2:14" x14ac:dyDescent="0.3">
      <c r="B141"/>
      <c r="C141" s="3"/>
      <c r="D141" s="3"/>
      <c r="E141" s="3"/>
      <c r="F141" s="3"/>
      <c r="G141" s="3"/>
      <c r="H141" s="3"/>
      <c r="I141" s="3"/>
      <c r="J141" s="3"/>
      <c r="K141" s="3"/>
      <c r="L141" s="3"/>
      <c r="M141" s="3"/>
      <c r="N141"/>
    </row>
    <row r="142" spans="2:14" x14ac:dyDescent="0.3">
      <c r="B142"/>
      <c r="C142" s="3"/>
      <c r="D142" s="3"/>
      <c r="E142" s="3"/>
      <c r="F142" s="3"/>
      <c r="G142" s="3"/>
      <c r="H142" s="3"/>
      <c r="I142" s="3"/>
      <c r="J142" s="3"/>
      <c r="K142" s="3"/>
      <c r="L142" s="3"/>
      <c r="M142" s="3"/>
      <c r="N142"/>
    </row>
    <row r="143" spans="2:14" x14ac:dyDescent="0.3">
      <c r="B143"/>
      <c r="C143" s="22" t="s">
        <v>82</v>
      </c>
      <c r="D143" s="22"/>
      <c r="E143" s="22"/>
      <c r="F143" s="22"/>
      <c r="G143" s="3"/>
      <c r="H143" s="3"/>
      <c r="I143" s="3"/>
      <c r="J143" s="3"/>
      <c r="K143" s="3"/>
      <c r="L143" s="24" t="s">
        <v>83</v>
      </c>
      <c r="M143" s="24" t="s">
        <v>64</v>
      </c>
      <c r="N143"/>
    </row>
    <row r="144" spans="2:14" x14ac:dyDescent="0.3">
      <c r="B144"/>
      <c r="C144" s="26" t="s">
        <v>84</v>
      </c>
      <c r="D144" s="26"/>
      <c r="E144" s="26"/>
      <c r="F144" s="26"/>
      <c r="G144" s="3"/>
      <c r="H144" s="3"/>
      <c r="I144" s="3"/>
      <c r="J144" s="3"/>
      <c r="K144" s="3"/>
      <c r="L144" s="34">
        <v>0.2427</v>
      </c>
      <c r="M144" s="34">
        <v>7.9299999999999995E-2</v>
      </c>
      <c r="N144"/>
    </row>
    <row r="145" spans="2:14" x14ac:dyDescent="0.3">
      <c r="B145"/>
      <c r="C145" s="26" t="s">
        <v>85</v>
      </c>
      <c r="D145" s="26"/>
      <c r="E145" s="26"/>
      <c r="F145" s="26"/>
      <c r="G145" s="3"/>
      <c r="H145" s="3"/>
      <c r="I145" s="3"/>
      <c r="J145" s="3"/>
      <c r="K145" s="3"/>
      <c r="L145" s="34">
        <v>0.1391</v>
      </c>
      <c r="M145" s="34">
        <v>0.15190000000000001</v>
      </c>
      <c r="N145"/>
    </row>
    <row r="146" spans="2:14" x14ac:dyDescent="0.3">
      <c r="B146"/>
      <c r="C146" s="26" t="s">
        <v>86</v>
      </c>
      <c r="D146" s="26"/>
      <c r="E146" s="26"/>
      <c r="F146" s="26"/>
      <c r="G146" s="3"/>
      <c r="H146" s="3"/>
      <c r="I146" s="3"/>
      <c r="J146" s="3"/>
      <c r="K146" s="3"/>
      <c r="L146" s="34">
        <v>0.222</v>
      </c>
      <c r="M146" s="34">
        <v>0.26750000000000002</v>
      </c>
      <c r="N146"/>
    </row>
    <row r="147" spans="2:14" x14ac:dyDescent="0.3">
      <c r="B147"/>
      <c r="C147" s="26" t="s">
        <v>87</v>
      </c>
      <c r="D147" s="26"/>
      <c r="E147" s="26"/>
      <c r="F147" s="26"/>
      <c r="G147" s="3"/>
      <c r="H147" s="3"/>
      <c r="I147" s="3"/>
      <c r="J147" s="3"/>
      <c r="K147" s="3"/>
      <c r="L147" s="34">
        <v>5.7300000000000004E-2</v>
      </c>
      <c r="M147" s="34">
        <v>2.8300000000000002E-2</v>
      </c>
      <c r="N147"/>
    </row>
    <row r="148" spans="2:14" x14ac:dyDescent="0.3">
      <c r="B148"/>
      <c r="C148" s="43" t="s">
        <v>88</v>
      </c>
      <c r="D148" s="43"/>
      <c r="E148" s="43"/>
      <c r="F148" s="43"/>
      <c r="G148" s="25"/>
      <c r="H148" s="25"/>
      <c r="I148" s="25"/>
      <c r="J148" s="25"/>
      <c r="K148" s="25"/>
      <c r="L148" s="44">
        <v>0.66110000000000002</v>
      </c>
      <c r="M148" s="44">
        <v>0.52699999999999991</v>
      </c>
      <c r="N148"/>
    </row>
    <row r="149" spans="2:14" x14ac:dyDescent="0.3">
      <c r="B149"/>
      <c r="C149" s="26" t="s">
        <v>89</v>
      </c>
      <c r="D149" s="26"/>
      <c r="E149" s="26"/>
      <c r="F149" s="26"/>
      <c r="G149" s="3"/>
      <c r="H149" s="3"/>
      <c r="I149" s="3"/>
      <c r="J149" s="3"/>
      <c r="K149" s="3"/>
      <c r="L149" s="34">
        <v>1.4499999999999999E-2</v>
      </c>
      <c r="M149" s="34">
        <v>2.8799999999999999E-2</v>
      </c>
      <c r="N149"/>
    </row>
    <row r="150" spans="2:14" x14ac:dyDescent="0.3">
      <c r="B150"/>
      <c r="C150" s="26" t="s">
        <v>90</v>
      </c>
      <c r="D150" s="26"/>
      <c r="E150" s="26"/>
      <c r="F150" s="26"/>
      <c r="G150" s="3"/>
      <c r="H150" s="3"/>
      <c r="I150" s="3"/>
      <c r="J150" s="3"/>
      <c r="K150" s="3"/>
      <c r="L150" s="34">
        <v>3.7400000000000003E-2</v>
      </c>
      <c r="M150" s="34">
        <v>1.3300000000000001E-2</v>
      </c>
      <c r="N150"/>
    </row>
    <row r="151" spans="2:14" x14ac:dyDescent="0.3">
      <c r="B151"/>
      <c r="C151" s="26" t="s">
        <v>91</v>
      </c>
      <c r="D151" s="26"/>
      <c r="E151" s="26"/>
      <c r="F151" s="26"/>
      <c r="G151" s="3"/>
      <c r="H151" s="3"/>
      <c r="I151" s="3"/>
      <c r="J151" s="3"/>
      <c r="K151" s="3"/>
      <c r="L151" s="34">
        <v>0.25590000000000002</v>
      </c>
      <c r="M151" s="34">
        <v>0.17499999999999999</v>
      </c>
      <c r="N151"/>
    </row>
    <row r="152" spans="2:14" x14ac:dyDescent="0.3">
      <c r="B152"/>
      <c r="C152" s="26" t="s">
        <v>92</v>
      </c>
      <c r="D152" s="26"/>
      <c r="E152" s="26"/>
      <c r="F152" s="26"/>
      <c r="G152" s="3"/>
      <c r="H152" s="3"/>
      <c r="I152" s="3"/>
      <c r="J152" s="3"/>
      <c r="K152" s="3"/>
      <c r="L152" s="34">
        <v>1.1399999999999999E-2</v>
      </c>
      <c r="M152" s="34">
        <v>8.8100000000000012E-2</v>
      </c>
      <c r="N152"/>
    </row>
    <row r="153" spans="2:14" x14ac:dyDescent="0.3">
      <c r="B153"/>
      <c r="C153" s="43" t="s">
        <v>93</v>
      </c>
      <c r="D153" s="43"/>
      <c r="E153" s="43"/>
      <c r="F153" s="43"/>
      <c r="G153" s="25"/>
      <c r="H153" s="25"/>
      <c r="I153" s="25"/>
      <c r="J153" s="25"/>
      <c r="K153" s="25"/>
      <c r="L153" s="44">
        <v>0.31920000000000004</v>
      </c>
      <c r="M153" s="44">
        <v>0.30520000000000003</v>
      </c>
      <c r="N153"/>
    </row>
    <row r="154" spans="2:14" x14ac:dyDescent="0.3">
      <c r="B154"/>
      <c r="C154" s="26" t="s">
        <v>94</v>
      </c>
      <c r="D154" s="26"/>
      <c r="E154" s="26"/>
      <c r="F154" s="26"/>
      <c r="G154" s="3"/>
      <c r="H154" s="3"/>
      <c r="I154" s="3"/>
      <c r="J154" s="3"/>
      <c r="K154" s="3"/>
      <c r="L154" s="34">
        <v>0</v>
      </c>
      <c r="M154" s="34">
        <v>2.8799999999999999E-2</v>
      </c>
      <c r="N154"/>
    </row>
    <row r="155" spans="2:14" x14ac:dyDescent="0.3">
      <c r="B155"/>
      <c r="C155" s="26" t="s">
        <v>95</v>
      </c>
      <c r="D155" s="26"/>
      <c r="E155" s="26"/>
      <c r="F155" s="26"/>
      <c r="G155" s="3"/>
      <c r="H155" s="3"/>
      <c r="I155" s="3"/>
      <c r="J155" s="3"/>
      <c r="K155" s="3"/>
      <c r="L155" s="34">
        <v>1.7600000000000001E-2</v>
      </c>
      <c r="M155" s="34">
        <v>0.11460000000000001</v>
      </c>
      <c r="N155"/>
    </row>
    <row r="156" spans="2:14" x14ac:dyDescent="0.3">
      <c r="B156"/>
      <c r="C156" s="26" t="s">
        <v>96</v>
      </c>
      <c r="D156" s="26"/>
      <c r="E156" s="26"/>
      <c r="F156" s="26"/>
      <c r="G156" s="3"/>
      <c r="H156" s="3"/>
      <c r="I156" s="3"/>
      <c r="J156" s="3"/>
      <c r="K156" s="3"/>
      <c r="L156" s="34">
        <v>1.9E-3</v>
      </c>
      <c r="M156" s="34">
        <v>2.4300000000000002E-2</v>
      </c>
      <c r="N156"/>
    </row>
    <row r="157" spans="2:14" x14ac:dyDescent="0.3">
      <c r="B157"/>
      <c r="C157" s="43" t="s">
        <v>97</v>
      </c>
      <c r="D157" s="43"/>
      <c r="E157" s="43"/>
      <c r="F157" s="43"/>
      <c r="G157" s="25"/>
      <c r="H157" s="25"/>
      <c r="I157" s="25"/>
      <c r="J157" s="25"/>
      <c r="K157" s="25"/>
      <c r="L157" s="44">
        <v>1.95E-2</v>
      </c>
      <c r="M157" s="44">
        <v>0.16769999999999999</v>
      </c>
      <c r="N157"/>
    </row>
    <row r="158" spans="2:14" x14ac:dyDescent="0.3">
      <c r="B158"/>
      <c r="C158" s="23"/>
      <c r="D158" s="23"/>
      <c r="E158" s="23"/>
      <c r="F158" s="23"/>
      <c r="G158" s="25"/>
      <c r="H158" s="25"/>
      <c r="I158" s="25"/>
      <c r="J158" s="25"/>
      <c r="K158" s="25"/>
      <c r="L158" s="45"/>
      <c r="M158" s="45"/>
      <c r="N158"/>
    </row>
    <row r="159" spans="2:14" x14ac:dyDescent="0.3">
      <c r="B159"/>
      <c r="C159" s="50" t="s">
        <v>98</v>
      </c>
      <c r="D159" s="50"/>
      <c r="E159" s="50"/>
      <c r="F159" s="50"/>
      <c r="G159" s="50"/>
      <c r="H159" s="50"/>
      <c r="I159" s="50"/>
      <c r="J159" s="50"/>
      <c r="K159" s="50"/>
      <c r="L159" s="50"/>
      <c r="M159" s="50"/>
      <c r="N159"/>
    </row>
    <row r="160" spans="2:14" x14ac:dyDescent="0.3">
      <c r="B160"/>
      <c r="C160" s="50"/>
      <c r="D160" s="50"/>
      <c r="E160" s="50"/>
      <c r="F160" s="50"/>
      <c r="G160" s="50"/>
      <c r="H160" s="50"/>
      <c r="I160" s="50"/>
      <c r="J160" s="50"/>
      <c r="K160" s="50"/>
      <c r="L160" s="50"/>
      <c r="M160" s="50"/>
      <c r="N160"/>
    </row>
    <row r="161" spans="2:14" x14ac:dyDescent="0.3">
      <c r="B161"/>
      <c r="C161" s="50"/>
      <c r="D161" s="50"/>
      <c r="E161" s="50"/>
      <c r="F161" s="50"/>
      <c r="G161" s="50"/>
      <c r="H161" s="50"/>
      <c r="I161" s="50"/>
      <c r="J161" s="50"/>
      <c r="K161" s="50"/>
      <c r="L161" s="50"/>
      <c r="M161" s="50"/>
      <c r="N161"/>
    </row>
    <row r="162" spans="2:14" ht="7.2" customHeight="1" x14ac:dyDescent="0.45">
      <c r="B162"/>
      <c r="C162" s="48"/>
      <c r="D162" s="48"/>
      <c r="E162" s="48"/>
      <c r="F162" s="48"/>
      <c r="G162" s="48"/>
      <c r="H162" s="48"/>
      <c r="I162" s="48"/>
      <c r="J162" s="48"/>
      <c r="K162" s="48"/>
      <c r="L162" s="48"/>
      <c r="M162" s="48"/>
      <c r="N162"/>
    </row>
    <row r="163" spans="2:14" x14ac:dyDescent="0.3">
      <c r="B163"/>
      <c r="C163" s="20" t="s">
        <v>38</v>
      </c>
      <c r="D163" s="3"/>
      <c r="E163" s="3"/>
      <c r="F163" s="3"/>
      <c r="G163" s="3"/>
      <c r="H163" s="3"/>
      <c r="I163" s="3"/>
      <c r="J163" s="3"/>
      <c r="K163" s="3"/>
      <c r="L163" s="3"/>
      <c r="M163" s="3"/>
      <c r="N163"/>
    </row>
    <row r="164" spans="2:14" x14ac:dyDescent="0.3">
      <c r="B164"/>
      <c r="C164" s="20"/>
      <c r="D164" s="3"/>
      <c r="E164" s="3"/>
      <c r="F164" s="3"/>
      <c r="G164" s="3"/>
      <c r="H164" s="3"/>
      <c r="I164" s="3"/>
      <c r="J164" s="3"/>
      <c r="K164" s="3"/>
      <c r="L164" s="3"/>
      <c r="M164" s="3"/>
      <c r="N164"/>
    </row>
    <row r="165" spans="2:14" ht="14.4" customHeight="1" x14ac:dyDescent="0.3">
      <c r="B165"/>
      <c r="C165" s="47" t="s">
        <v>99</v>
      </c>
      <c r="D165" s="47"/>
      <c r="E165" s="47"/>
      <c r="F165" s="47"/>
      <c r="G165" s="47"/>
      <c r="H165" s="47"/>
      <c r="I165" s="47"/>
      <c r="J165" s="47"/>
      <c r="K165" s="47"/>
      <c r="L165" s="47"/>
      <c r="M165" s="47"/>
      <c r="N165"/>
    </row>
    <row r="166" spans="2:14" x14ac:dyDescent="0.3">
      <c r="B166"/>
      <c r="C166" s="47"/>
      <c r="D166" s="47"/>
      <c r="E166" s="47"/>
      <c r="F166" s="47"/>
      <c r="G166" s="47"/>
      <c r="H166" s="47"/>
      <c r="I166" s="47"/>
      <c r="J166" s="47"/>
      <c r="K166" s="47"/>
      <c r="L166" s="47"/>
      <c r="M166" s="47"/>
      <c r="N166"/>
    </row>
    <row r="167" spans="2:14" ht="23.4" customHeight="1" x14ac:dyDescent="0.3">
      <c r="B167"/>
      <c r="C167" s="47"/>
      <c r="D167" s="47"/>
      <c r="E167" s="47"/>
      <c r="F167" s="47"/>
      <c r="G167" s="47"/>
      <c r="H167" s="47"/>
      <c r="I167" s="47"/>
      <c r="J167" s="47"/>
      <c r="K167" s="47"/>
      <c r="L167" s="47"/>
      <c r="M167" s="47"/>
      <c r="N167"/>
    </row>
    <row r="168" spans="2:14" ht="7.2" customHeight="1" x14ac:dyDescent="0.45">
      <c r="B168"/>
      <c r="C168" s="48"/>
      <c r="D168" s="48"/>
      <c r="E168" s="48"/>
      <c r="F168" s="48"/>
      <c r="G168" s="48"/>
      <c r="H168" s="48"/>
      <c r="I168" s="48"/>
      <c r="J168" s="48"/>
      <c r="K168" s="48"/>
      <c r="L168" s="48"/>
      <c r="M168" s="48"/>
      <c r="N168"/>
    </row>
    <row r="169" spans="2:14" x14ac:dyDescent="0.3">
      <c r="B169"/>
      <c r="C169" s="20"/>
      <c r="D169" s="3"/>
      <c r="E169" s="3"/>
      <c r="F169" s="3"/>
      <c r="G169" s="3"/>
      <c r="H169" s="3"/>
      <c r="I169" s="3"/>
      <c r="J169" s="3"/>
      <c r="K169" s="3"/>
      <c r="L169" s="3"/>
      <c r="M169" s="3"/>
      <c r="N169"/>
    </row>
  </sheetData>
  <sheetProtection algorithmName="SHA-512" hashValue="5f9C7V/reRqdvOWEIbtZI3YrNo6IywjD04kQuyduQsekHMPWjhX3tXqg4Pe2/75hTqouGflHtVIJGm7/e2ywTg==" saltValue="fmdkG4ECeGhptXkbMygcDQ==" spinCount="100000" sheet="1" objects="1" scenarios="1"/>
  <mergeCells count="26">
    <mergeCell ref="C3:M3"/>
    <mergeCell ref="C5:M5"/>
    <mergeCell ref="C8:G8"/>
    <mergeCell ref="I8:M8"/>
    <mergeCell ref="C21:G21"/>
    <mergeCell ref="I21:M21"/>
    <mergeCell ref="C86:M93"/>
    <mergeCell ref="C23:G28"/>
    <mergeCell ref="C30:G30"/>
    <mergeCell ref="I30:M30"/>
    <mergeCell ref="C40:M40"/>
    <mergeCell ref="C42:M45"/>
    <mergeCell ref="C47:M47"/>
    <mergeCell ref="C50:M50"/>
    <mergeCell ref="C74:G74"/>
    <mergeCell ref="I74:M74"/>
    <mergeCell ref="C81:G81"/>
    <mergeCell ref="I81:M81"/>
    <mergeCell ref="C165:M167"/>
    <mergeCell ref="C168:M168"/>
    <mergeCell ref="C95:M95"/>
    <mergeCell ref="C98:M98"/>
    <mergeCell ref="C104:M111"/>
    <mergeCell ref="C113:M113"/>
    <mergeCell ref="C159:M161"/>
    <mergeCell ref="C162:M162"/>
  </mergeCells>
  <pageMargins left="0.23622047244094491" right="0.23622047244094491" top="0.62992125984251968" bottom="0.74803149606299213" header="0.31496062992125984" footer="0.31496062992125984"/>
  <pageSetup paperSize="9" scale="21" fitToHeight="0"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New</vt:lpstr>
      <vt:lpstr>New!Print_Area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Sanidhya Ekhar</dc:creator>
  <cp:lastModifiedBy>Sanidhya Ekhar</cp:lastModifiedBy>
  <dcterms:created xsi:type="dcterms:W3CDTF">2026-07-24T17:40:46Z</dcterms:created>
  <dcterms:modified xsi:type="dcterms:W3CDTF">2026-07-24T17:45:24Z</dcterms:modified>
</cp:coreProperties>
</file>